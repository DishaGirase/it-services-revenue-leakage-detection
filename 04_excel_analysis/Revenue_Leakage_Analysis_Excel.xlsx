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evenue Leakage Analysis" sheetId="2" r:id="rId6"/>
    <sheet state="visible" name="Pareto Analysis" sheetId="3" r:id="rId7"/>
    <sheet state="visible" name="Executive KPIs" sheetId="4" r:id="rId8"/>
    <sheet state="visible" name="PM Heatmap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<sst xmlns="http://schemas.openxmlformats.org/spreadsheetml/2006/main" count="248" uniqueCount="84">
  <si>
    <t>project_id</t>
  </si>
  <si>
    <t>billing_month</t>
  </si>
  <si>
    <t>project_manager</t>
  </si>
  <si>
    <t>department</t>
  </si>
  <si>
    <t>logged_hours</t>
  </si>
  <si>
    <t>billed_hours</t>
  </si>
  <si>
    <t>leakage_hours</t>
  </si>
  <si>
    <t>leakage_inr</t>
  </si>
  <si>
    <t>leakage_pct</t>
  </si>
  <si>
    <t>risk_flag</t>
  </si>
  <si>
    <t>client_name</t>
  </si>
  <si>
    <t>invoice_amount_inr</t>
  </si>
  <si>
    <t>PROJ-014</t>
  </si>
  <si>
    <t>Priya Mehta</t>
  </si>
  <si>
    <t>DevOps</t>
  </si>
  <si>
    <t>HIGH RISK</t>
  </si>
  <si>
    <t>NO INVOICE</t>
  </si>
  <si>
    <t>PROJ-017</t>
  </si>
  <si>
    <t>Frontend Development</t>
  </si>
  <si>
    <t>TalentBridge HR Tech</t>
  </si>
  <si>
    <t>PROJ-004</t>
  </si>
  <si>
    <t>Karan Patel</t>
  </si>
  <si>
    <t>Data Engineering</t>
  </si>
  <si>
    <t>PROJ-008</t>
  </si>
  <si>
    <t>Rahul Desai</t>
  </si>
  <si>
    <t>PROJ-013</t>
  </si>
  <si>
    <t>Divya Sharma</t>
  </si>
  <si>
    <t>PROJ-007</t>
  </si>
  <si>
    <t>PROJ-005</t>
  </si>
  <si>
    <t>Sneha Kulkarni</t>
  </si>
  <si>
    <t>Support</t>
  </si>
  <si>
    <t>PROJ-016</t>
  </si>
  <si>
    <t>Arjun Nair</t>
  </si>
  <si>
    <t>QA</t>
  </si>
  <si>
    <t>PROJ-018</t>
  </si>
  <si>
    <t>PROJ-010</t>
  </si>
  <si>
    <t>PROJ-009</t>
  </si>
  <si>
    <t>PROJ-002</t>
  </si>
  <si>
    <t>PROJ-006</t>
  </si>
  <si>
    <t>PROJ-015</t>
  </si>
  <si>
    <t>CloudNine Infra Ltd</t>
  </si>
  <si>
    <t>PROJ-001</t>
  </si>
  <si>
    <t>LogiTrade Solutions</t>
  </si>
  <si>
    <t>PROJ-020</t>
  </si>
  <si>
    <t>Backend Development</t>
  </si>
  <si>
    <t>SureShield Insurance</t>
  </si>
  <si>
    <t>InsightMetrics Pvt Ltd</t>
  </si>
  <si>
    <t>HomeFinder Pvt Ltd</t>
  </si>
  <si>
    <t>PROJ-023</t>
  </si>
  <si>
    <t>AutoDrive Tech Pvt Ltd</t>
  </si>
  <si>
    <t>UrbanCart Technologies</t>
  </si>
  <si>
    <t>PROJ-012</t>
  </si>
  <si>
    <t>RetailCo Pvt Ltd</t>
  </si>
  <si>
    <t>FinServe Bank Ltd</t>
  </si>
  <si>
    <t>PROJ-021</t>
  </si>
  <si>
    <t>GlobalManuf Industries</t>
  </si>
  <si>
    <t>PROJ-003</t>
  </si>
  <si>
    <t>Revenue Leakage Analysis Dashboard (Jan – Jun 2025)</t>
  </si>
  <si>
    <t>Total Leakage: ₹1.50 Cr | Avg Leakage Rate: 53.6%</t>
  </si>
  <si>
    <t>Month</t>
  </si>
  <si>
    <t>Leakage Amount (₹)</t>
  </si>
  <si>
    <t>Total Logged Hours</t>
  </si>
  <si>
    <t>Unbilled Hours</t>
  </si>
  <si>
    <t>Leakage Rate (%)</t>
  </si>
  <si>
    <t>Grand Total</t>
  </si>
  <si>
    <t>Revenue Leakage Pareto Analysis (2025)</t>
  </si>
  <si>
    <t>cumulative_inr</t>
  </si>
  <si>
    <t>% of Total</t>
  </si>
  <si>
    <t>Cumulative %</t>
  </si>
  <si>
    <t>Category</t>
  </si>
  <si>
    <t>Executive KPI Dashboard</t>
  </si>
  <si>
    <t>Total Billed Hours</t>
  </si>
  <si>
    <t>Total Leakage Hours</t>
  </si>
  <si>
    <t>Total Leakage INR</t>
  </si>
  <si>
    <t>Overall Leakage %</t>
  </si>
  <si>
    <t>High Risk Projects</t>
  </si>
  <si>
    <t>Missing Invoice Cases</t>
  </si>
  <si>
    <t>Billing Efficiency %</t>
  </si>
  <si>
    <t>Revenue Leakage Analysis by Project Manager (Jan – Jun 2025)</t>
  </si>
  <si>
    <t>Total Leakage: ₹1.50 Cr | Top 3 Managers Contribute ~72%</t>
  </si>
  <si>
    <t xml:space="preserve">Revenue Leakage (₹) </t>
  </si>
  <si>
    <t>Billing Month</t>
  </si>
  <si>
    <t>Project Managers</t>
  </si>
  <si>
    <t>% Contribution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</si>
</sst>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"/>
    <numFmt numFmtId="165" formatCode="₹ [&gt;9999999]##\,##\,##\,##0;₹ [&gt;99999]##\,##\,##0;₹ ##,##0"/>
    <numFmt numFmtId="166" formatCode="0.0%"/>
    <numFmt numFmtId="167" formatCode="[&gt;9999999]##\,##\,##\,##0;[&gt;99999]##\,##\,##0;##,##0"/>
    <numFmt numFmtId="168" formatCode="₹#,##,#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i/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i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rgb="FF78909C"/>
        <bgColor rgb="FF78909C"/>
      </patternFill>
    </fill>
    <fill>
      <patternFill patternType="solid">
        <fgColor rgb="FFBDBDBD"/>
        <bgColor rgb="FFBDBDBD"/>
      </patternFill>
    </fill>
    <fill>
      <patternFill patternType="solid">
        <fgColor rgb="FFEBEFF1"/>
        <bgColor rgb="FFEBEFF1"/>
      </patternFill>
    </fill>
    <fill>
      <patternFill patternType="solid">
        <fgColor rgb="FFEFEFEF"/>
        <bgColor rgb="FFEFEFEF"/>
      </patternFill>
    </fill>
    <fill>
      <patternFill patternType="solid">
        <fgColor rgb="FFA3B2CC"/>
        <bgColor rgb="FFA3B2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</fills>
  <borders count="3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0" fontId="1" numFmtId="0" xfId="0" applyAlignment="1" applyBorder="1" applyFont="1">
      <alignment horizontal="right" vertical="center"/>
    </xf>
    <xf borderId="7" fillId="4" fontId="1" numFmtId="0" xfId="0" applyAlignment="1" applyBorder="1" applyFill="1" applyFont="1">
      <alignment horizontal="right" vertical="center"/>
    </xf>
    <xf borderId="7" fillId="4" fontId="1" numFmtId="9" xfId="0" applyAlignment="1" applyBorder="1" applyFont="1" applyNumberFormat="1">
      <alignment horizontal="right" vertical="center"/>
    </xf>
    <xf borderId="8" fillId="4" fontId="5" numFmtId="0" xfId="0" applyAlignment="1" applyBorder="1" applyFont="1">
      <alignment horizontal="right" readingOrder="0" vertical="center"/>
    </xf>
    <xf borderId="9" fillId="0" fontId="1" numFmtId="164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1" numFmtId="49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5" fillId="0" fontId="1" numFmtId="166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horizontal="right" vertical="center"/>
    </xf>
    <xf borderId="11" fillId="5" fontId="1" numFmtId="165" xfId="0" applyAlignment="1" applyBorder="1" applyFill="1" applyFont="1" applyNumberFormat="1">
      <alignment horizontal="right" vertical="center"/>
    </xf>
    <xf borderId="11" fillId="5" fontId="1" numFmtId="49" xfId="0" applyAlignment="1" applyBorder="1" applyFont="1" applyNumberFormat="1">
      <alignment horizontal="right" vertical="center"/>
    </xf>
    <xf borderId="11" fillId="5" fontId="1" numFmtId="0" xfId="0" applyAlignment="1" applyBorder="1" applyFont="1">
      <alignment horizontal="right" vertical="center"/>
    </xf>
    <xf borderId="12" fillId="5" fontId="6" numFmtId="166" xfId="0" applyAlignment="1" applyBorder="1" applyFont="1" applyNumberFormat="1">
      <alignment horizontal="right" vertical="center"/>
    </xf>
    <xf borderId="0" fillId="0" fontId="1" numFmtId="9" xfId="0" applyFont="1" applyNumberFormat="1"/>
    <xf borderId="0" fillId="6" fontId="7" numFmtId="0" xfId="0" applyAlignment="1" applyFill="1" applyFont="1">
      <alignment horizontal="center" readingOrder="0" vertical="center"/>
    </xf>
    <xf borderId="13" fillId="7" fontId="8" numFmtId="0" xfId="0" applyAlignment="1" applyBorder="1" applyFill="1" applyFont="1">
      <alignment horizontal="right" vertical="center"/>
    </xf>
    <xf borderId="13" fillId="7" fontId="8" numFmtId="0" xfId="0" applyAlignment="1" applyBorder="1" applyFont="1">
      <alignment horizontal="right" readingOrder="0" vertical="center"/>
    </xf>
    <xf borderId="4" fillId="8" fontId="1" numFmtId="0" xfId="0" applyAlignment="1" applyBorder="1" applyFill="1" applyFont="1">
      <alignment horizontal="right" vertical="center"/>
    </xf>
    <xf borderId="0" fillId="9" fontId="1" numFmtId="165" xfId="0" applyAlignment="1" applyFill="1" applyFont="1" applyNumberFormat="1">
      <alignment horizontal="right" vertical="center"/>
    </xf>
    <xf borderId="0" fillId="9" fontId="1" numFmtId="166" xfId="0" applyAlignment="1" applyFont="1" applyNumberFormat="1">
      <alignment horizontal="right" vertical="center"/>
    </xf>
    <xf borderId="5" fillId="0" fontId="1" numFmtId="0" xfId="0" applyAlignment="1" applyBorder="1" applyFont="1">
      <alignment horizontal="right" vertical="center"/>
    </xf>
    <xf borderId="14" fillId="8" fontId="1" numFmtId="0" xfId="0" applyAlignment="1" applyBorder="1" applyFont="1">
      <alignment horizontal="right" vertical="center"/>
    </xf>
    <xf borderId="15" fillId="9" fontId="1" numFmtId="165" xfId="0" applyAlignment="1" applyBorder="1" applyFont="1" applyNumberFormat="1">
      <alignment horizontal="right" vertical="center"/>
    </xf>
    <xf borderId="15" fillId="9" fontId="1" numFmtId="166" xfId="0" applyAlignment="1" applyBorder="1" applyFont="1" applyNumberFormat="1">
      <alignment horizontal="right" vertical="center"/>
    </xf>
    <xf borderId="16" fillId="0" fontId="1" numFmtId="0" xfId="0" applyAlignment="1" applyBorder="1" applyFont="1">
      <alignment horizontal="right" vertical="center"/>
    </xf>
    <xf borderId="5" fillId="3" fontId="1" numFmtId="0" xfId="0" applyAlignment="1" applyBorder="1" applyFont="1">
      <alignment horizontal="right" vertical="center"/>
    </xf>
    <xf borderId="17" fillId="8" fontId="1" numFmtId="0" xfId="0" applyAlignment="1" applyBorder="1" applyFont="1">
      <alignment horizontal="right" vertical="center"/>
    </xf>
    <xf borderId="18" fillId="9" fontId="1" numFmtId="165" xfId="0" applyAlignment="1" applyBorder="1" applyFont="1" applyNumberFormat="1">
      <alignment horizontal="right" vertical="center"/>
    </xf>
    <xf borderId="18" fillId="9" fontId="1" numFmtId="166" xfId="0" applyAlignment="1" applyBorder="1" applyFont="1" applyNumberFormat="1">
      <alignment horizontal="right" vertical="center"/>
    </xf>
    <xf borderId="19" fillId="3" fontId="1" numFmtId="0" xfId="0" applyAlignment="1" applyBorder="1" applyFont="1">
      <alignment horizontal="right" vertical="center"/>
    </xf>
    <xf borderId="20" fillId="10" fontId="9" numFmtId="0" xfId="0" applyAlignment="1" applyBorder="1" applyFill="1" applyFont="1">
      <alignment horizontal="center" readingOrder="0"/>
    </xf>
    <xf borderId="21" fillId="0" fontId="3" numFmtId="0" xfId="0" applyBorder="1" applyFont="1"/>
    <xf borderId="22" fillId="8" fontId="1" numFmtId="0" xfId="0" applyAlignment="1" applyBorder="1" applyFont="1">
      <alignment horizontal="left" readingOrder="0"/>
    </xf>
    <xf borderId="23" fillId="0" fontId="1" numFmtId="167" xfId="0" applyAlignment="1" applyBorder="1" applyFont="1" applyNumberFormat="1">
      <alignment horizontal="right"/>
    </xf>
    <xf borderId="23" fillId="11" fontId="1" numFmtId="165" xfId="0" applyAlignment="1" applyBorder="1" applyFill="1" applyFont="1" applyNumberFormat="1">
      <alignment horizontal="right"/>
    </xf>
    <xf borderId="23" fillId="12" fontId="1" numFmtId="166" xfId="0" applyAlignment="1" applyBorder="1" applyFill="1" applyFont="1" applyNumberFormat="1">
      <alignment horizontal="right"/>
    </xf>
    <xf borderId="23" fillId="0" fontId="1" numFmtId="49" xfId="0" applyAlignment="1" applyBorder="1" applyFont="1" applyNumberFormat="1">
      <alignment horizontal="right"/>
    </xf>
    <xf borderId="23" fillId="0" fontId="1" numFmtId="3" xfId="0" applyAlignment="1" applyBorder="1" applyFont="1" applyNumberFormat="1">
      <alignment horizontal="right"/>
    </xf>
    <xf borderId="6" fillId="8" fontId="1" numFmtId="0" xfId="0" applyAlignment="1" applyBorder="1" applyFont="1">
      <alignment horizontal="left" readingOrder="0"/>
    </xf>
    <xf borderId="24" fillId="13" fontId="1" numFmtId="166" xfId="0" applyAlignment="1" applyBorder="1" applyFill="1" applyFont="1" applyNumberFormat="1">
      <alignment horizontal="right"/>
    </xf>
    <xf borderId="25" fillId="14" fontId="9" numFmtId="0" xfId="0" applyAlignment="1" applyBorder="1" applyFill="1" applyFont="1">
      <alignment horizontal="center" readingOrder="0"/>
    </xf>
    <xf borderId="26" fillId="0" fontId="3" numFmtId="0" xfId="0" applyBorder="1" applyFont="1"/>
    <xf borderId="27" fillId="0" fontId="3" numFmtId="0" xfId="0" applyBorder="1" applyFont="1"/>
    <xf borderId="28" fillId="2" fontId="10" numFmtId="0" xfId="0" applyAlignment="1" applyBorder="1" applyFont="1">
      <alignment horizontal="center" readingOrder="0"/>
    </xf>
    <xf borderId="15" fillId="0" fontId="3" numFmtId="0" xfId="0" applyBorder="1" applyFont="1"/>
    <xf borderId="29" fillId="0" fontId="3" numFmtId="0" xfId="0" applyBorder="1" applyFont="1"/>
    <xf borderId="30" fillId="5" fontId="11" numFmtId="0" xfId="0" applyAlignment="1" applyBorder="1" applyFont="1">
      <alignment horizontal="center" vertical="center"/>
    </xf>
    <xf borderId="28" fillId="5" fontId="8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right" vertical="center"/>
    </xf>
    <xf borderId="29" fillId="5" fontId="1" numFmtId="0" xfId="0" applyAlignment="1" applyBorder="1" applyFont="1">
      <alignment horizontal="right" vertical="center"/>
    </xf>
    <xf borderId="31" fillId="5" fontId="11" numFmtId="0" xfId="0" applyAlignment="1" applyBorder="1" applyFont="1">
      <alignment horizontal="center" vertical="center"/>
    </xf>
    <xf borderId="13" fillId="15" fontId="1" numFmtId="164" xfId="0" applyAlignment="1" applyBorder="1" applyFill="1" applyFont="1" applyNumberFormat="1">
      <alignment horizontal="center" vertical="center"/>
    </xf>
    <xf borderId="13" fillId="15" fontId="8" numFmtId="0" xfId="0" applyAlignment="1" applyBorder="1" applyFont="1">
      <alignment horizontal="center" vertical="center"/>
    </xf>
    <xf borderId="13" fillId="15" fontId="12" numFmtId="0" xfId="0" applyAlignment="1" applyBorder="1" applyFont="1">
      <alignment horizontal="center" readingOrder="0" vertical="center"/>
    </xf>
    <xf borderId="32" fillId="3" fontId="1" numFmtId="0" xfId="0" applyAlignment="1" applyBorder="1" applyFont="1">
      <alignment horizontal="right" vertical="center"/>
    </xf>
    <xf borderId="33" fillId="0" fontId="1" numFmtId="168" xfId="0" applyAlignment="1" applyBorder="1" applyFont="1" applyNumberFormat="1">
      <alignment horizontal="right" vertical="center"/>
    </xf>
    <xf borderId="34" fillId="0" fontId="1" numFmtId="168" xfId="0" applyAlignment="1" applyBorder="1" applyFont="1" applyNumberFormat="1">
      <alignment horizontal="right" vertical="center"/>
    </xf>
    <xf borderId="34" fillId="5" fontId="1" numFmtId="168" xfId="0" applyAlignment="1" applyBorder="1" applyFont="1" applyNumberFormat="1">
      <alignment horizontal="right" vertical="center"/>
    </xf>
    <xf borderId="34" fillId="3" fontId="1" numFmtId="166" xfId="0" applyAlignment="1" applyBorder="1" applyFont="1" applyNumberFormat="1">
      <alignment horizontal="right" vertical="center"/>
    </xf>
    <xf borderId="31" fillId="0" fontId="1" numFmtId="168" xfId="0" applyAlignment="1" applyBorder="1" applyFont="1" applyNumberFormat="1">
      <alignment horizontal="right" vertical="center"/>
    </xf>
    <xf borderId="35" fillId="0" fontId="1" numFmtId="168" xfId="0" applyAlignment="1" applyBorder="1" applyFont="1" applyNumberFormat="1">
      <alignment horizontal="right" vertical="center"/>
    </xf>
    <xf borderId="35" fillId="5" fontId="1" numFmtId="168" xfId="0" applyAlignment="1" applyBorder="1" applyFont="1" applyNumberFormat="1">
      <alignment horizontal="right" vertical="center"/>
    </xf>
    <xf borderId="35" fillId="3" fontId="1" numFmtId="166" xfId="0" applyAlignment="1" applyBorder="1" applyFont="1" applyNumberFormat="1">
      <alignment horizontal="right" vertical="center"/>
    </xf>
    <xf borderId="36" fillId="5" fontId="13" numFmtId="0" xfId="0" applyAlignment="1" applyBorder="1" applyFont="1">
      <alignment horizontal="right" vertical="center"/>
    </xf>
    <xf borderId="13" fillId="5" fontId="1" numFmtId="168" xfId="0" applyAlignment="1" applyBorder="1" applyFont="1" applyNumberFormat="1">
      <alignment horizontal="right" vertical="center"/>
    </xf>
    <xf borderId="13" fillId="5" fontId="6" numFmtId="166" xfId="0" applyAlignment="1" applyBorder="1" applyFont="1" applyNumberFormat="1">
      <alignment horizontal="right" vertical="center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Monthly Revenue Leakage Trend (₹ &amp; 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Leakage Analysis'!$B$3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'Revenue Leakage Analysis'!$A$4:$A$9</c:f>
            </c:strRef>
          </c:cat>
          <c:val>
            <c:numRef>
              <c:f>'Revenue Leakage Analysis'!$B$4:$B$9</c:f>
              <c:numCache/>
            </c:numRef>
          </c:val>
        </c:ser>
        <c:axId val="1095693335"/>
        <c:axId val="41028718"/>
      </c:barChart>
      <c:catAx>
        <c:axId val="1095693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Billing Month (2025)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41028718"/>
      </c:catAx>
      <c:valAx>
        <c:axId val="41028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Leakage Amount (₹)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693335"/>
      </c:valAx>
      <c:lineChart>
        <c:varyColors val="0"/>
        <c:ser>
          <c:idx val="1"/>
          <c:order val="1"/>
          <c:tx>
            <c:strRef>
              <c:f>'Revenue Leakage Analysis'!$E$3</c:f>
            </c:strRef>
          </c:tx>
          <c:spPr>
            <a:ln cmpd="sng">
              <a:solidFill>
                <a:srgbClr val="CC0000">
                  <a:alpha val="100000"/>
                </a:srgbClr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CC0000">
                  <a:alpha val="100000"/>
                </a:srgbClr>
              </a:solidFill>
              <a:ln cmpd="sng">
                <a:solidFill>
                  <a:srgbClr val="CC0000">
                    <a:alpha val="100000"/>
                  </a:srgbClr>
                </a:solidFill>
              </a:ln>
            </c:spPr>
          </c:marker>
          <c:cat>
            <c:strRef>
              <c:f>'Revenue Leakage Analysis'!$A$4:$A$9</c:f>
            </c:strRef>
          </c:cat>
          <c:val>
            <c:numRef>
              <c:f>'Revenue Leakage Analysis'!$E$4:$E$9</c:f>
              <c:numCache/>
            </c:numRef>
          </c:val>
          <c:smooth val="0"/>
        </c:ser>
        <c:axId val="514683681"/>
        <c:axId val="1770565350"/>
      </c:lineChart>
      <c:catAx>
        <c:axId val="5146836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</a:p>
        </c:txPr>
        <c:crossAx val="1770565350"/>
      </c:catAx>
      <c:valAx>
        <c:axId val="17705653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Leakage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683681"/>
        <c:crosses val="max"/>
      </c:valAx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66675</xdr:rowOff>
    </xdr:from>
    <xdr:ext cx="59626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1" sheet="Raw Data"/>
  </cacheSource>
  <cacheFields>
    <cacheField name="project_id" numFmtId="0">
      <sharedItems>
        <s v="PROJ-014"/>
        <s v="PROJ-017"/>
        <s v="PROJ-004"/>
        <s v="PROJ-008"/>
        <s v="PROJ-013"/>
        <s v="PROJ-007"/>
        <s v="PROJ-005"/>
        <s v="PROJ-016"/>
        <s v="PROJ-018"/>
        <s v="PROJ-010"/>
        <s v="PROJ-009"/>
        <s v="PROJ-002"/>
        <s v="PROJ-006"/>
        <s v="PROJ-015"/>
        <s v="PROJ-001"/>
        <s v="PROJ-020"/>
        <s v="PROJ-023"/>
        <s v="PROJ-012"/>
        <s v="PROJ-021"/>
        <s v="PROJ-003"/>
      </sharedItems>
    </cacheField>
    <cacheField name="billing_month" numFmtId="164">
      <sharedItems containsSemiMixedTypes="0" containsDate="1" containsString="0">
        <d v="2025-02-01T00:00:00Z"/>
        <d v="2025-01-01T00:00:00Z"/>
        <d v="2025-06-01T00:00:00Z"/>
        <d v="2025-04-01T00:00:00Z"/>
        <d v="2025-05-01T00:00:00Z"/>
        <d v="2025-03-01T00:00:00Z"/>
      </sharedItems>
    </cacheField>
    <cacheField name="project_manager" numFmtId="0">
      <sharedItems>
        <s v="Priya Mehta"/>
        <s v="Karan Patel"/>
        <s v="Rahul Desai"/>
        <s v="Divya Sharma"/>
        <s v="Sneha Kulkarni"/>
        <s v="Arjun Nair"/>
      </sharedItems>
    </cacheField>
    <cacheField name="department" numFmtId="0">
      <sharedItems>
        <s v="DevOps"/>
        <s v="Frontend Development"/>
        <s v="Data Engineering"/>
        <s v="Support"/>
        <s v="QA"/>
        <s v="Backend Development"/>
      </sharedItems>
    </cacheField>
    <cacheField name="logged_hours" numFmtId="0">
      <sharedItems containsSemiMixedTypes="0" containsString="0" containsNumber="1">
        <n v="450.4"/>
        <n v="475.6"/>
        <n v="312.7"/>
        <n v="290.4"/>
        <n v="284.3"/>
        <n v="264.7"/>
        <n v="298.3"/>
        <n v="275.2"/>
        <n v="397.6"/>
        <n v="352.5"/>
        <n v="282.4"/>
        <n v="202.0"/>
        <n v="180.1"/>
        <n v="168.7"/>
        <n v="175.5"/>
        <n v="168.6"/>
        <n v="583.0"/>
        <n v="389.5"/>
        <n v="118.1"/>
        <n v="388.8"/>
        <n v="290.9"/>
        <n v="258.4"/>
        <n v="436.6"/>
        <n v="444.9"/>
        <n v="293.1"/>
        <n v="142.6"/>
        <n v="176.4"/>
        <n v="297.3"/>
        <n v="193.6"/>
        <n v="346.6"/>
        <n v="275.8"/>
        <n v="235.0"/>
        <n v="218.3"/>
        <n v="236.4"/>
        <n v="216.8"/>
        <n v="202.8"/>
        <n v="184.3"/>
        <n v="42.8"/>
        <n v="10.3"/>
      </sharedItems>
    </cacheField>
    <cacheField name="billed_hours" numFmtId="0">
      <sharedItems containsSemiMixedTypes="0" containsString="0" containsNumber="1">
        <n v="0.0"/>
        <n v="464.2"/>
        <n v="273.1"/>
        <n v="320.4"/>
        <n v="267.5"/>
        <n v="220.2"/>
        <n v="202.3"/>
        <n v="363.1"/>
        <n v="366.8"/>
        <n v="225.5"/>
        <n v="106.3"/>
        <n v="136.9"/>
        <n v="261.1"/>
        <n v="139.6"/>
        <n v="318.2"/>
        <n v="241.6"/>
        <n v="192.0"/>
        <n v="184.2"/>
        <n v="201.2"/>
        <n v="187.4"/>
        <n v="185.8"/>
        <n v="167.2"/>
        <n v="33.8"/>
        <n v="8.4"/>
      </sharedItems>
    </cacheField>
    <cacheField name="leakage_hours" numFmtId="0">
      <sharedItems containsSemiMixedTypes="0" containsString="0" containsNumber="1">
        <n v="450.4"/>
        <n v="475.6"/>
        <n v="312.7"/>
        <n v="290.4"/>
        <n v="284.3"/>
        <n v="264.7"/>
        <n v="298.3"/>
        <n v="275.2"/>
        <n v="397.6"/>
        <n v="352.5"/>
        <n v="282.4"/>
        <n v="202.0"/>
        <n v="180.1"/>
        <n v="168.7"/>
        <n v="175.5"/>
        <n v="168.6"/>
        <n v="118.8"/>
        <n v="116.4"/>
        <n v="118.1"/>
        <n v="68.4"/>
        <n v="85.0"/>
        <n v="70.7"/>
        <n v="56.1"/>
        <n v="73.5"/>
        <n v="78.1"/>
        <n v="67.6"/>
        <n v="36.3"/>
        <n v="39.5"/>
        <n v="36.2"/>
        <n v="54.0"/>
        <n v="28.4"/>
        <n v="34.2"/>
        <n v="43.0"/>
        <n v="34.1"/>
        <n v="35.2"/>
        <n v="29.4"/>
        <n v="17.0"/>
        <n v="17.1"/>
        <n v="9.0"/>
        <n v="1.9"/>
      </sharedItems>
    </cacheField>
    <cacheField name="leakage_inr" numFmtId="0">
      <sharedItems containsSemiMixedTypes="0" containsString="0" containsNumber="1">
        <n v="1351200.0"/>
        <n v="1058210.0"/>
        <n v="1031910.0"/>
        <n v="980100.0"/>
        <n v="817362.5"/>
        <n v="776453.33"/>
        <n v="727852.0"/>
        <n v="715520.0"/>
        <n v="685860.0"/>
        <n v="634500.0"/>
        <n v="564800.0"/>
        <n v="538666.67"/>
        <n v="528293.33"/>
        <n v="522970.0"/>
        <n v="514800.0"/>
        <n v="480510.0"/>
        <n v="316800.0"/>
        <n v="302640.0"/>
        <n v="265725.0"/>
        <n v="238032.0"/>
        <n v="215900.0"/>
        <n v="195603.33"/>
        <n v="175312.5"/>
        <n v="135240.0"/>
        <n v="129646.0"/>
        <n v="114920.0"/>
        <n v="112530.0"/>
        <n v="106650.0"/>
        <n v="106186.67"/>
        <n v="104400.0"/>
        <n v="94430.0"/>
        <n v="89775.0"/>
        <n v="80266.67"/>
        <n v="63653.33"/>
        <n v="62186.67"/>
        <n v="54390.0"/>
        <n v="52133.33"/>
        <n v="47025.0"/>
        <n v="25200.0"/>
        <n v="5510.0"/>
      </sharedItems>
    </cacheField>
    <cacheField name="leakage_pct" numFmtId="0">
      <sharedItems containsSemiMixedTypes="0" containsString="0" containsNumber="1">
        <n v="100.0"/>
        <n v="20.38"/>
        <n v="29.88"/>
        <n v="17.59"/>
        <n v="24.11"/>
        <n v="24.3"/>
        <n v="21.71"/>
        <n v="16.83"/>
        <n v="17.55"/>
        <n v="23.06"/>
        <n v="25.46"/>
        <n v="22.39"/>
        <n v="12.18"/>
        <n v="27.89"/>
        <n v="8.19"/>
        <n v="12.4"/>
        <n v="18.3"/>
        <n v="15.62"/>
        <n v="14.89"/>
        <n v="13.56"/>
        <n v="8.38"/>
        <n v="9.28"/>
        <n v="21.03"/>
        <n v="18.45"/>
      </sharedItems>
    </cacheField>
    <cacheField name="risk_flag" numFmtId="0">
      <sharedItems>
        <s v="HIGH RISK"/>
      </sharedItems>
    </cacheField>
    <cacheField name="client_name" numFmtId="0">
      <sharedItems>
        <s v="NO INVOICE"/>
        <s v="TalentBridge HR Tech"/>
        <s v="CloudNine Infra Ltd"/>
        <s v="LogiTrade Solutions"/>
        <s v="SureShield Insurance"/>
        <s v="InsightMetrics Pvt Ltd"/>
        <s v="HomeFinder Pvt Ltd"/>
        <s v="AutoDrive Tech Pvt Ltd"/>
        <s v="UrbanCart Technologies"/>
        <s v="RetailCo Pvt Ltd"/>
        <s v="FinServe Bank Ltd"/>
        <s v="GlobalManuf Industries"/>
      </sharedItems>
    </cacheField>
    <cacheField name="invoice_amount_inr" numFmtId="0">
      <sharedItems containsSemiMixedTypes="0" containsString="0" containsNumber="1" containsInteger="1">
        <n v="0.0"/>
        <n v="1206920.0"/>
        <n v="710060.0"/>
        <n v="1121400.0"/>
        <n v="695500.0"/>
        <n v="616560.0"/>
        <n v="647360.0"/>
        <n v="653580.0"/>
        <n v="623560.0"/>
        <n v="383350.0"/>
        <n v="308270.0"/>
        <n v="355940.0"/>
        <n v="731080.0"/>
        <n v="265240.0"/>
        <n v="986420.0"/>
        <n v="628160.0"/>
        <n v="364800.0"/>
        <n v="331560.0"/>
        <n v="362160.0"/>
        <n v="337320.0"/>
        <n v="557400.0"/>
        <n v="468160.0"/>
        <n v="87880.0"/>
        <n v="252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 Leakage Analysis" cacheId="0" dataCaption="" compact="0" compactData="0">
  <location ref="A3:D10" firstHeaderRow="0" firstDataRow="2" firstDataCol="0"/>
  <pivotFields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h" axis="axisRow" compact="0" numFmtId="164" outline="0" multipleItemSelectionAllowed="1" showAll="0" sortType="ascending">
      <items>
        <item x="1"/>
        <item x="0"/>
        <item x="5"/>
        <item x="3"/>
        <item x="4"/>
        <item x="2"/>
        <item t="default"/>
      </items>
    </pivotField>
    <pivotField name="project_manag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gged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bill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kage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eakag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eaka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isk_flag" compact="0" outline="0" multipleItemSelectionAllowed="1" showAll="0">
      <items>
        <item x="0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voice_amount_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"/>
  </rowFields>
  <colFields>
    <field x="-2"/>
  </colFields>
  <dataFields>
    <dataField name="Leakage Amount (₹)" fld="7" baseField="0"/>
    <dataField name="Total Logged Hours" fld="4" baseField="0"/>
    <dataField name="Unbilled Hours" fld="6" baseField="0"/>
  </dataFields>
</pivotTableDefinition>
</file>

<file path=xl/pivotTables/pivotTable2.xml><?xml version="1.0" encoding="utf-8"?>
<pivotTableDefinition xmlns="http://schemas.openxmlformats.org/spreadsheetml/2006/main" name="PM Heatmap" cacheId="0" dataCaption="" compact="0" compactData="0">
  <location ref="A3:H11" firstHeaderRow="0" firstDataRow="1" firstDataCol="1"/>
  <pivotFields>
    <pivotField name="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illing Month" axis="axisCol" compact="0" numFmtId="164" outline="0" multipleItemSelectionAllowed="1" showAll="0" sortType="ascending">
      <items>
        <item x="1"/>
        <item x="0"/>
        <item x="5"/>
        <item x="3"/>
        <item x="4"/>
        <item x="2"/>
        <item t="default"/>
      </items>
    </pivotField>
    <pivotField name="Project Managers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gg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billed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eak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eakag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eakag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isk_flag" compact="0" outline="0" multipleItemSelectionAllowed="1" showAll="0">
      <items>
        <item x="0"/>
        <item t="default"/>
      </items>
    </pivotField>
    <pivotField name="cli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voice_amount_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2"/>
  </rowFields>
  <colFields>
    <field x="1"/>
  </colFields>
  <dataFields>
    <dataField name="Revenue Leakage (₹) 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45689.0</v>
      </c>
      <c r="C2" s="1" t="s">
        <v>13</v>
      </c>
      <c r="D2" s="1" t="s">
        <v>14</v>
      </c>
      <c r="E2" s="1">
        <v>450.4</v>
      </c>
      <c r="F2" s="1">
        <v>0.0</v>
      </c>
      <c r="G2" s="1">
        <v>450.4</v>
      </c>
      <c r="H2" s="1">
        <v>1351200.0</v>
      </c>
      <c r="I2" s="1">
        <v>100.0</v>
      </c>
      <c r="J2" s="1" t="s">
        <v>15</v>
      </c>
      <c r="K2" s="1" t="s">
        <v>16</v>
      </c>
      <c r="L2" s="1">
        <v>0.0</v>
      </c>
    </row>
    <row r="3">
      <c r="A3" s="1" t="s">
        <v>17</v>
      </c>
      <c r="B3" s="2">
        <v>45658.0</v>
      </c>
      <c r="C3" s="1" t="s">
        <v>13</v>
      </c>
      <c r="D3" s="1" t="s">
        <v>18</v>
      </c>
      <c r="E3" s="1">
        <v>475.6</v>
      </c>
      <c r="F3" s="1">
        <v>0.0</v>
      </c>
      <c r="G3" s="1">
        <v>475.6</v>
      </c>
      <c r="H3" s="1">
        <v>1058210.0</v>
      </c>
      <c r="I3" s="1">
        <v>100.0</v>
      </c>
      <c r="J3" s="1" t="s">
        <v>15</v>
      </c>
      <c r="K3" s="1" t="s">
        <v>19</v>
      </c>
      <c r="L3" s="1">
        <v>0.0</v>
      </c>
    </row>
    <row r="4">
      <c r="A4" s="1" t="s">
        <v>20</v>
      </c>
      <c r="B4" s="2">
        <v>45809.0</v>
      </c>
      <c r="C4" s="1" t="s">
        <v>21</v>
      </c>
      <c r="D4" s="1" t="s">
        <v>22</v>
      </c>
      <c r="E4" s="1">
        <v>312.7</v>
      </c>
      <c r="F4" s="1">
        <v>0.0</v>
      </c>
      <c r="G4" s="1">
        <v>312.7</v>
      </c>
      <c r="H4" s="1">
        <v>1031910.0</v>
      </c>
      <c r="I4" s="1">
        <v>100.0</v>
      </c>
      <c r="J4" s="1" t="s">
        <v>15</v>
      </c>
      <c r="K4" s="1" t="s">
        <v>16</v>
      </c>
      <c r="L4" s="1">
        <v>0.0</v>
      </c>
    </row>
    <row r="5">
      <c r="A5" s="1" t="s">
        <v>23</v>
      </c>
      <c r="B5" s="2">
        <v>45689.0</v>
      </c>
      <c r="C5" s="1" t="s">
        <v>24</v>
      </c>
      <c r="D5" s="1" t="s">
        <v>14</v>
      </c>
      <c r="E5" s="1">
        <v>290.4</v>
      </c>
      <c r="F5" s="1">
        <v>0.0</v>
      </c>
      <c r="G5" s="1">
        <v>290.4</v>
      </c>
      <c r="H5" s="1">
        <v>980100.0</v>
      </c>
      <c r="I5" s="1">
        <v>100.0</v>
      </c>
      <c r="J5" s="1" t="s">
        <v>15</v>
      </c>
      <c r="K5" s="1" t="s">
        <v>16</v>
      </c>
      <c r="L5" s="1">
        <v>0.0</v>
      </c>
    </row>
    <row r="6">
      <c r="A6" s="1" t="s">
        <v>12</v>
      </c>
      <c r="B6" s="2">
        <v>45658.0</v>
      </c>
      <c r="C6" s="1" t="s">
        <v>13</v>
      </c>
      <c r="D6" s="1" t="s">
        <v>14</v>
      </c>
      <c r="E6" s="1">
        <v>284.3</v>
      </c>
      <c r="F6" s="1">
        <v>0.0</v>
      </c>
      <c r="G6" s="1">
        <v>284.3</v>
      </c>
      <c r="H6" s="1">
        <v>817362.5</v>
      </c>
      <c r="I6" s="1">
        <v>100.0</v>
      </c>
      <c r="J6" s="1" t="s">
        <v>15</v>
      </c>
      <c r="K6" s="1" t="s">
        <v>16</v>
      </c>
      <c r="L6" s="1">
        <v>0.0</v>
      </c>
    </row>
    <row r="7">
      <c r="A7" s="1" t="s">
        <v>25</v>
      </c>
      <c r="B7" s="2">
        <v>45748.0</v>
      </c>
      <c r="C7" s="1" t="s">
        <v>26</v>
      </c>
      <c r="D7" s="1" t="s">
        <v>22</v>
      </c>
      <c r="E7" s="1">
        <v>264.7</v>
      </c>
      <c r="F7" s="1">
        <v>0.0</v>
      </c>
      <c r="G7" s="1">
        <v>264.7</v>
      </c>
      <c r="H7" s="1">
        <v>776453.33</v>
      </c>
      <c r="I7" s="1">
        <v>100.0</v>
      </c>
      <c r="J7" s="1" t="s">
        <v>15</v>
      </c>
      <c r="K7" s="1" t="s">
        <v>16</v>
      </c>
      <c r="L7" s="1">
        <v>0.0</v>
      </c>
    </row>
    <row r="8">
      <c r="A8" s="1" t="s">
        <v>27</v>
      </c>
      <c r="B8" s="2">
        <v>45689.0</v>
      </c>
      <c r="C8" s="1" t="s">
        <v>24</v>
      </c>
      <c r="D8" s="1" t="s">
        <v>18</v>
      </c>
      <c r="E8" s="1">
        <v>298.3</v>
      </c>
      <c r="F8" s="1">
        <v>0.0</v>
      </c>
      <c r="G8" s="1">
        <v>298.3</v>
      </c>
      <c r="H8" s="1">
        <v>727852.0</v>
      </c>
      <c r="I8" s="1">
        <v>100.0</v>
      </c>
      <c r="J8" s="1" t="s">
        <v>15</v>
      </c>
      <c r="K8" s="1" t="s">
        <v>16</v>
      </c>
      <c r="L8" s="1">
        <v>0.0</v>
      </c>
    </row>
    <row r="9">
      <c r="A9" s="1" t="s">
        <v>28</v>
      </c>
      <c r="B9" s="2">
        <v>45748.0</v>
      </c>
      <c r="C9" s="1" t="s">
        <v>29</v>
      </c>
      <c r="D9" s="1" t="s">
        <v>30</v>
      </c>
      <c r="E9" s="1">
        <v>275.2</v>
      </c>
      <c r="F9" s="1">
        <v>0.0</v>
      </c>
      <c r="G9" s="1">
        <v>275.2</v>
      </c>
      <c r="H9" s="1">
        <v>715520.0</v>
      </c>
      <c r="I9" s="1">
        <v>100.0</v>
      </c>
      <c r="J9" s="1" t="s">
        <v>15</v>
      </c>
      <c r="K9" s="1" t="s">
        <v>16</v>
      </c>
      <c r="L9" s="1">
        <v>0.0</v>
      </c>
    </row>
    <row r="10">
      <c r="A10" s="1" t="s">
        <v>31</v>
      </c>
      <c r="B10" s="2">
        <v>45658.0</v>
      </c>
      <c r="C10" s="1" t="s">
        <v>32</v>
      </c>
      <c r="D10" s="1" t="s">
        <v>33</v>
      </c>
      <c r="E10" s="1">
        <v>397.6</v>
      </c>
      <c r="F10" s="1">
        <v>0.0</v>
      </c>
      <c r="G10" s="1">
        <v>397.6</v>
      </c>
      <c r="H10" s="1">
        <v>685860.0</v>
      </c>
      <c r="I10" s="1">
        <v>100.0</v>
      </c>
      <c r="J10" s="1" t="s">
        <v>15</v>
      </c>
      <c r="K10" s="1" t="s">
        <v>16</v>
      </c>
      <c r="L10" s="1">
        <v>0.0</v>
      </c>
    </row>
    <row r="11">
      <c r="A11" s="1" t="s">
        <v>31</v>
      </c>
      <c r="B11" s="2">
        <v>45689.0</v>
      </c>
      <c r="C11" s="1" t="s">
        <v>32</v>
      </c>
      <c r="D11" s="1" t="s">
        <v>33</v>
      </c>
      <c r="E11" s="1">
        <v>352.5</v>
      </c>
      <c r="F11" s="1">
        <v>0.0</v>
      </c>
      <c r="G11" s="1">
        <v>352.5</v>
      </c>
      <c r="H11" s="1">
        <v>634500.0</v>
      </c>
      <c r="I11" s="1">
        <v>100.0</v>
      </c>
      <c r="J11" s="1" t="s">
        <v>15</v>
      </c>
      <c r="K11" s="1" t="s">
        <v>16</v>
      </c>
      <c r="L11" s="1">
        <v>0.0</v>
      </c>
    </row>
    <row r="12">
      <c r="A12" s="1" t="s">
        <v>34</v>
      </c>
      <c r="B12" s="2">
        <v>45778.0</v>
      </c>
      <c r="C12" s="1" t="s">
        <v>13</v>
      </c>
      <c r="D12" s="1" t="s">
        <v>18</v>
      </c>
      <c r="E12" s="1">
        <v>282.4</v>
      </c>
      <c r="F12" s="1">
        <v>0.0</v>
      </c>
      <c r="G12" s="1">
        <v>282.4</v>
      </c>
      <c r="H12" s="1">
        <v>564800.0</v>
      </c>
      <c r="I12" s="1">
        <v>100.0</v>
      </c>
      <c r="J12" s="1" t="s">
        <v>15</v>
      </c>
      <c r="K12" s="1" t="s">
        <v>16</v>
      </c>
      <c r="L12" s="1">
        <v>0.0</v>
      </c>
    </row>
    <row r="13">
      <c r="A13" s="1" t="s">
        <v>35</v>
      </c>
      <c r="B13" s="2">
        <v>45809.0</v>
      </c>
      <c r="C13" s="1" t="s">
        <v>13</v>
      </c>
      <c r="D13" s="1" t="s">
        <v>33</v>
      </c>
      <c r="E13" s="1">
        <v>202.0</v>
      </c>
      <c r="F13" s="1">
        <v>0.0</v>
      </c>
      <c r="G13" s="1">
        <v>202.0</v>
      </c>
      <c r="H13" s="1">
        <v>538666.67</v>
      </c>
      <c r="I13" s="1">
        <v>100.0</v>
      </c>
      <c r="J13" s="1" t="s">
        <v>15</v>
      </c>
      <c r="K13" s="1" t="s">
        <v>16</v>
      </c>
      <c r="L13" s="1">
        <v>0.0</v>
      </c>
    </row>
    <row r="14">
      <c r="A14" s="1" t="s">
        <v>36</v>
      </c>
      <c r="B14" s="2">
        <v>45689.0</v>
      </c>
      <c r="C14" s="1" t="s">
        <v>21</v>
      </c>
      <c r="D14" s="1" t="s">
        <v>30</v>
      </c>
      <c r="E14" s="1">
        <v>180.1</v>
      </c>
      <c r="F14" s="1">
        <v>0.0</v>
      </c>
      <c r="G14" s="1">
        <v>180.1</v>
      </c>
      <c r="H14" s="1">
        <v>528293.33</v>
      </c>
      <c r="I14" s="1">
        <v>100.0</v>
      </c>
      <c r="J14" s="1" t="s">
        <v>15</v>
      </c>
      <c r="K14" s="1" t="s">
        <v>16</v>
      </c>
      <c r="L14" s="1">
        <v>0.0</v>
      </c>
    </row>
    <row r="15">
      <c r="A15" s="1" t="s">
        <v>37</v>
      </c>
      <c r="B15" s="2">
        <v>45658.0</v>
      </c>
      <c r="C15" s="1" t="s">
        <v>13</v>
      </c>
      <c r="D15" s="1" t="s">
        <v>22</v>
      </c>
      <c r="E15" s="1">
        <v>168.7</v>
      </c>
      <c r="F15" s="1">
        <v>0.0</v>
      </c>
      <c r="G15" s="1">
        <v>168.7</v>
      </c>
      <c r="H15" s="1">
        <v>522970.0</v>
      </c>
      <c r="I15" s="1">
        <v>100.0</v>
      </c>
      <c r="J15" s="1" t="s">
        <v>15</v>
      </c>
      <c r="K15" s="1" t="s">
        <v>16</v>
      </c>
      <c r="L15" s="1">
        <v>0.0</v>
      </c>
    </row>
    <row r="16">
      <c r="A16" s="1" t="s">
        <v>36</v>
      </c>
      <c r="B16" s="2">
        <v>45748.0</v>
      </c>
      <c r="C16" s="1" t="s">
        <v>21</v>
      </c>
      <c r="D16" s="1" t="s">
        <v>30</v>
      </c>
      <c r="E16" s="1">
        <v>175.5</v>
      </c>
      <c r="F16" s="1">
        <v>0.0</v>
      </c>
      <c r="G16" s="1">
        <v>175.5</v>
      </c>
      <c r="H16" s="1">
        <v>514800.0</v>
      </c>
      <c r="I16" s="1">
        <v>100.0</v>
      </c>
      <c r="J16" s="1" t="s">
        <v>15</v>
      </c>
      <c r="K16" s="1" t="s">
        <v>16</v>
      </c>
      <c r="L16" s="1">
        <v>0.0</v>
      </c>
    </row>
    <row r="17">
      <c r="A17" s="1" t="s">
        <v>38</v>
      </c>
      <c r="B17" s="2">
        <v>45809.0</v>
      </c>
      <c r="C17" s="1" t="s">
        <v>24</v>
      </c>
      <c r="D17" s="1" t="s">
        <v>14</v>
      </c>
      <c r="E17" s="1">
        <v>168.6</v>
      </c>
      <c r="F17" s="1">
        <v>0.0</v>
      </c>
      <c r="G17" s="1">
        <v>168.6</v>
      </c>
      <c r="H17" s="1">
        <v>480510.0</v>
      </c>
      <c r="I17" s="1">
        <v>100.0</v>
      </c>
      <c r="J17" s="1" t="s">
        <v>15</v>
      </c>
      <c r="K17" s="1" t="s">
        <v>16</v>
      </c>
      <c r="L17" s="1">
        <v>0.0</v>
      </c>
    </row>
    <row r="18">
      <c r="A18" s="1" t="s">
        <v>39</v>
      </c>
      <c r="B18" s="2">
        <v>45658.0</v>
      </c>
      <c r="C18" s="1" t="s">
        <v>26</v>
      </c>
      <c r="D18" s="1" t="s">
        <v>33</v>
      </c>
      <c r="E18" s="1">
        <v>583.0</v>
      </c>
      <c r="F18" s="1">
        <v>464.2</v>
      </c>
      <c r="G18" s="1">
        <v>118.8</v>
      </c>
      <c r="H18" s="1">
        <v>316800.0</v>
      </c>
      <c r="I18" s="1">
        <v>20.38</v>
      </c>
      <c r="J18" s="1" t="s">
        <v>15</v>
      </c>
      <c r="K18" s="1" t="s">
        <v>40</v>
      </c>
      <c r="L18" s="1">
        <v>1206920.0</v>
      </c>
    </row>
    <row r="19">
      <c r="A19" s="1" t="s">
        <v>39</v>
      </c>
      <c r="B19" s="2">
        <v>45809.0</v>
      </c>
      <c r="C19" s="1" t="s">
        <v>26</v>
      </c>
      <c r="D19" s="1" t="s">
        <v>33</v>
      </c>
      <c r="E19" s="1">
        <v>389.5</v>
      </c>
      <c r="F19" s="1">
        <v>273.1</v>
      </c>
      <c r="G19" s="1">
        <v>116.4</v>
      </c>
      <c r="H19" s="1">
        <v>302640.0</v>
      </c>
      <c r="I19" s="1">
        <v>29.88</v>
      </c>
      <c r="J19" s="1" t="s">
        <v>15</v>
      </c>
      <c r="K19" s="1" t="s">
        <v>40</v>
      </c>
      <c r="L19" s="1">
        <v>710060.0</v>
      </c>
    </row>
    <row r="20">
      <c r="A20" s="1" t="s">
        <v>41</v>
      </c>
      <c r="B20" s="2">
        <v>45717.0</v>
      </c>
      <c r="C20" s="1" t="s">
        <v>21</v>
      </c>
      <c r="D20" s="1" t="s">
        <v>18</v>
      </c>
      <c r="E20" s="1">
        <v>118.1</v>
      </c>
      <c r="F20" s="1">
        <v>0.0</v>
      </c>
      <c r="G20" s="1">
        <v>118.1</v>
      </c>
      <c r="H20" s="1">
        <v>265725.0</v>
      </c>
      <c r="I20" s="1">
        <v>100.0</v>
      </c>
      <c r="J20" s="1" t="s">
        <v>15</v>
      </c>
      <c r="K20" s="1" t="s">
        <v>16</v>
      </c>
      <c r="L20" s="1">
        <v>0.0</v>
      </c>
    </row>
    <row r="21">
      <c r="A21" s="1" t="s">
        <v>20</v>
      </c>
      <c r="B21" s="2">
        <v>45717.0</v>
      </c>
      <c r="C21" s="1" t="s">
        <v>21</v>
      </c>
      <c r="D21" s="1" t="s">
        <v>22</v>
      </c>
      <c r="E21" s="1">
        <v>388.8</v>
      </c>
      <c r="F21" s="1">
        <v>320.4</v>
      </c>
      <c r="G21" s="1">
        <v>68.4</v>
      </c>
      <c r="H21" s="1">
        <v>238032.0</v>
      </c>
      <c r="I21" s="1">
        <v>17.59</v>
      </c>
      <c r="J21" s="1" t="s">
        <v>15</v>
      </c>
      <c r="K21" s="1" t="s">
        <v>42</v>
      </c>
      <c r="L21" s="1">
        <v>1121400.0</v>
      </c>
    </row>
    <row r="22">
      <c r="A22" s="1" t="s">
        <v>39</v>
      </c>
      <c r="B22" s="2">
        <v>45778.0</v>
      </c>
      <c r="C22" s="1" t="s">
        <v>26</v>
      </c>
      <c r="D22" s="1" t="s">
        <v>33</v>
      </c>
      <c r="E22" s="1">
        <v>352.5</v>
      </c>
      <c r="F22" s="1">
        <v>267.5</v>
      </c>
      <c r="G22" s="1">
        <v>85.0</v>
      </c>
      <c r="H22" s="1">
        <v>215900.0</v>
      </c>
      <c r="I22" s="1">
        <v>24.11</v>
      </c>
      <c r="J22" s="1" t="s">
        <v>15</v>
      </c>
      <c r="K22" s="1" t="s">
        <v>40</v>
      </c>
      <c r="L22" s="1">
        <v>695500.0</v>
      </c>
    </row>
    <row r="23">
      <c r="A23" s="1" t="s">
        <v>43</v>
      </c>
      <c r="B23" s="2">
        <v>45658.0</v>
      </c>
      <c r="C23" s="1" t="s">
        <v>24</v>
      </c>
      <c r="D23" s="1" t="s">
        <v>44</v>
      </c>
      <c r="E23" s="1">
        <v>290.9</v>
      </c>
      <c r="F23" s="1">
        <v>220.2</v>
      </c>
      <c r="G23" s="1">
        <v>70.7</v>
      </c>
      <c r="H23" s="1">
        <v>195603.33</v>
      </c>
      <c r="I23" s="1">
        <v>24.3</v>
      </c>
      <c r="J23" s="1" t="s">
        <v>15</v>
      </c>
      <c r="K23" s="1" t="s">
        <v>45</v>
      </c>
      <c r="L23" s="1">
        <v>616560.0</v>
      </c>
    </row>
    <row r="24">
      <c r="A24" s="1" t="s">
        <v>23</v>
      </c>
      <c r="B24" s="2">
        <v>45748.0</v>
      </c>
      <c r="C24" s="1" t="s">
        <v>24</v>
      </c>
      <c r="D24" s="1" t="s">
        <v>14</v>
      </c>
      <c r="E24" s="1">
        <v>258.4</v>
      </c>
      <c r="F24" s="1">
        <v>202.3</v>
      </c>
      <c r="G24" s="1">
        <v>56.1</v>
      </c>
      <c r="H24" s="1">
        <v>175312.5</v>
      </c>
      <c r="I24" s="1">
        <v>21.71</v>
      </c>
      <c r="J24" s="1" t="s">
        <v>15</v>
      </c>
      <c r="K24" s="1" t="s">
        <v>46</v>
      </c>
      <c r="L24" s="1">
        <v>647360.0</v>
      </c>
    </row>
    <row r="25">
      <c r="A25" s="1" t="s">
        <v>31</v>
      </c>
      <c r="B25" s="2">
        <v>45748.0</v>
      </c>
      <c r="C25" s="1" t="s">
        <v>32</v>
      </c>
      <c r="D25" s="1" t="s">
        <v>33</v>
      </c>
      <c r="E25" s="1">
        <v>436.6</v>
      </c>
      <c r="F25" s="1">
        <v>363.1</v>
      </c>
      <c r="G25" s="1">
        <v>73.5</v>
      </c>
      <c r="H25" s="1">
        <v>135240.0</v>
      </c>
      <c r="I25" s="1">
        <v>16.83</v>
      </c>
      <c r="J25" s="1" t="s">
        <v>15</v>
      </c>
      <c r="K25" s="1" t="s">
        <v>47</v>
      </c>
      <c r="L25" s="1">
        <v>653580.0</v>
      </c>
    </row>
    <row r="26">
      <c r="A26" s="1" t="s">
        <v>48</v>
      </c>
      <c r="B26" s="2">
        <v>45748.0</v>
      </c>
      <c r="C26" s="1" t="s">
        <v>26</v>
      </c>
      <c r="D26" s="1" t="s">
        <v>44</v>
      </c>
      <c r="E26" s="1">
        <v>444.9</v>
      </c>
      <c r="F26" s="1">
        <v>366.8</v>
      </c>
      <c r="G26" s="1">
        <v>78.1</v>
      </c>
      <c r="H26" s="1">
        <v>129646.0</v>
      </c>
      <c r="I26" s="1">
        <v>17.55</v>
      </c>
      <c r="J26" s="1" t="s">
        <v>15</v>
      </c>
      <c r="K26" s="1" t="s">
        <v>49</v>
      </c>
      <c r="L26" s="1">
        <v>623560.0</v>
      </c>
    </row>
    <row r="27">
      <c r="A27" s="1" t="s">
        <v>48</v>
      </c>
      <c r="B27" s="2">
        <v>45658.0</v>
      </c>
      <c r="C27" s="1" t="s">
        <v>26</v>
      </c>
      <c r="D27" s="1" t="s">
        <v>44</v>
      </c>
      <c r="E27" s="1">
        <v>293.1</v>
      </c>
      <c r="F27" s="1">
        <v>225.5</v>
      </c>
      <c r="G27" s="1">
        <v>67.6</v>
      </c>
      <c r="H27" s="1">
        <v>114920.0</v>
      </c>
      <c r="I27" s="1">
        <v>23.06</v>
      </c>
      <c r="J27" s="1" t="s">
        <v>15</v>
      </c>
      <c r="K27" s="1" t="s">
        <v>49</v>
      </c>
      <c r="L27" s="1">
        <v>383350.0</v>
      </c>
    </row>
    <row r="28">
      <c r="A28" s="1" t="s">
        <v>12</v>
      </c>
      <c r="B28" s="2">
        <v>45748.0</v>
      </c>
      <c r="C28" s="1" t="s">
        <v>13</v>
      </c>
      <c r="D28" s="1" t="s">
        <v>14</v>
      </c>
      <c r="E28" s="1">
        <v>142.6</v>
      </c>
      <c r="F28" s="1">
        <v>106.3</v>
      </c>
      <c r="G28" s="1">
        <v>36.3</v>
      </c>
      <c r="H28" s="1">
        <v>112530.0</v>
      </c>
      <c r="I28" s="1">
        <v>25.46</v>
      </c>
      <c r="J28" s="1" t="s">
        <v>15</v>
      </c>
      <c r="K28" s="1" t="s">
        <v>49</v>
      </c>
      <c r="L28" s="1">
        <v>308270.0</v>
      </c>
    </row>
    <row r="29">
      <c r="A29" s="1" t="s">
        <v>28</v>
      </c>
      <c r="B29" s="2">
        <v>45717.0</v>
      </c>
      <c r="C29" s="1" t="s">
        <v>29</v>
      </c>
      <c r="D29" s="1" t="s">
        <v>30</v>
      </c>
      <c r="E29" s="1">
        <v>176.4</v>
      </c>
      <c r="F29" s="1">
        <v>136.9</v>
      </c>
      <c r="G29" s="1">
        <v>39.5</v>
      </c>
      <c r="H29" s="1">
        <v>106650.0</v>
      </c>
      <c r="I29" s="1">
        <v>22.39</v>
      </c>
      <c r="J29" s="1" t="s">
        <v>15</v>
      </c>
      <c r="K29" s="1" t="s">
        <v>50</v>
      </c>
      <c r="L29" s="1">
        <v>355940.0</v>
      </c>
    </row>
    <row r="30">
      <c r="A30" s="1" t="s">
        <v>38</v>
      </c>
      <c r="B30" s="2">
        <v>45778.0</v>
      </c>
      <c r="C30" s="1" t="s">
        <v>24</v>
      </c>
      <c r="D30" s="1" t="s">
        <v>14</v>
      </c>
      <c r="E30" s="1">
        <v>297.3</v>
      </c>
      <c r="F30" s="1">
        <v>261.1</v>
      </c>
      <c r="G30" s="1">
        <v>36.2</v>
      </c>
      <c r="H30" s="1">
        <v>106186.67</v>
      </c>
      <c r="I30" s="1">
        <v>12.18</v>
      </c>
      <c r="J30" s="1" t="s">
        <v>15</v>
      </c>
      <c r="K30" s="1" t="s">
        <v>40</v>
      </c>
      <c r="L30" s="1">
        <v>731080.0</v>
      </c>
    </row>
    <row r="31">
      <c r="A31" s="1" t="s">
        <v>51</v>
      </c>
      <c r="B31" s="2">
        <v>45778.0</v>
      </c>
      <c r="C31" s="1" t="s">
        <v>21</v>
      </c>
      <c r="D31" s="1" t="s">
        <v>18</v>
      </c>
      <c r="E31" s="1">
        <v>193.6</v>
      </c>
      <c r="F31" s="1">
        <v>139.6</v>
      </c>
      <c r="G31" s="1">
        <v>54.0</v>
      </c>
      <c r="H31" s="1">
        <v>104400.0</v>
      </c>
      <c r="I31" s="1">
        <v>27.89</v>
      </c>
      <c r="J31" s="1" t="s">
        <v>15</v>
      </c>
      <c r="K31" s="1" t="s">
        <v>52</v>
      </c>
      <c r="L31" s="1">
        <v>265240.0</v>
      </c>
    </row>
    <row r="32">
      <c r="A32" s="1" t="s">
        <v>25</v>
      </c>
      <c r="B32" s="2">
        <v>45689.0</v>
      </c>
      <c r="C32" s="1" t="s">
        <v>26</v>
      </c>
      <c r="D32" s="1" t="s">
        <v>22</v>
      </c>
      <c r="E32" s="1">
        <v>346.6</v>
      </c>
      <c r="F32" s="1">
        <v>318.2</v>
      </c>
      <c r="G32" s="1">
        <v>28.4</v>
      </c>
      <c r="H32" s="1">
        <v>94430.0</v>
      </c>
      <c r="I32" s="1">
        <v>8.19</v>
      </c>
      <c r="J32" s="1" t="s">
        <v>15</v>
      </c>
      <c r="K32" s="1" t="s">
        <v>53</v>
      </c>
      <c r="L32" s="1">
        <v>986420.0</v>
      </c>
    </row>
    <row r="33">
      <c r="A33" s="1" t="s">
        <v>54</v>
      </c>
      <c r="B33" s="2">
        <v>45658.0</v>
      </c>
      <c r="C33" s="1" t="s">
        <v>24</v>
      </c>
      <c r="D33" s="1" t="s">
        <v>44</v>
      </c>
      <c r="E33" s="1">
        <v>275.8</v>
      </c>
      <c r="F33" s="1">
        <v>241.6</v>
      </c>
      <c r="G33" s="1">
        <v>34.2</v>
      </c>
      <c r="H33" s="1">
        <v>89775.0</v>
      </c>
      <c r="I33" s="1">
        <v>12.4</v>
      </c>
      <c r="J33" s="1" t="s">
        <v>15</v>
      </c>
      <c r="K33" s="1" t="s">
        <v>55</v>
      </c>
      <c r="L33" s="1">
        <v>628160.0</v>
      </c>
    </row>
    <row r="34">
      <c r="A34" s="1" t="s">
        <v>51</v>
      </c>
      <c r="B34" s="2">
        <v>45717.0</v>
      </c>
      <c r="C34" s="1" t="s">
        <v>21</v>
      </c>
      <c r="D34" s="1" t="s">
        <v>18</v>
      </c>
      <c r="E34" s="1">
        <v>235.0</v>
      </c>
      <c r="F34" s="1">
        <v>192.0</v>
      </c>
      <c r="G34" s="1">
        <v>43.0</v>
      </c>
      <c r="H34" s="1">
        <v>80266.67</v>
      </c>
      <c r="I34" s="1">
        <v>18.3</v>
      </c>
      <c r="J34" s="1" t="s">
        <v>15</v>
      </c>
      <c r="K34" s="1" t="s">
        <v>52</v>
      </c>
      <c r="L34" s="1">
        <v>364800.0</v>
      </c>
    </row>
    <row r="35">
      <c r="A35" s="1" t="s">
        <v>56</v>
      </c>
      <c r="B35" s="2">
        <v>45717.0</v>
      </c>
      <c r="C35" s="1" t="s">
        <v>13</v>
      </c>
      <c r="D35" s="1" t="s">
        <v>22</v>
      </c>
      <c r="E35" s="1">
        <v>218.3</v>
      </c>
      <c r="F35" s="1">
        <v>184.2</v>
      </c>
      <c r="G35" s="1">
        <v>34.1</v>
      </c>
      <c r="H35" s="1">
        <v>63653.33</v>
      </c>
      <c r="I35" s="1">
        <v>15.62</v>
      </c>
      <c r="J35" s="1" t="s">
        <v>15</v>
      </c>
      <c r="K35" s="1" t="s">
        <v>55</v>
      </c>
      <c r="L35" s="1">
        <v>331560.0</v>
      </c>
    </row>
    <row r="36">
      <c r="A36" s="1" t="s">
        <v>56</v>
      </c>
      <c r="B36" s="2">
        <v>45748.0</v>
      </c>
      <c r="C36" s="1" t="s">
        <v>13</v>
      </c>
      <c r="D36" s="1" t="s">
        <v>22</v>
      </c>
      <c r="E36" s="1">
        <v>236.4</v>
      </c>
      <c r="F36" s="1">
        <v>201.2</v>
      </c>
      <c r="G36" s="1">
        <v>35.2</v>
      </c>
      <c r="H36" s="1">
        <v>62186.67</v>
      </c>
      <c r="I36" s="1">
        <v>14.89</v>
      </c>
      <c r="J36" s="1" t="s">
        <v>15</v>
      </c>
      <c r="K36" s="1" t="s">
        <v>55</v>
      </c>
      <c r="L36" s="1">
        <v>362160.0</v>
      </c>
    </row>
    <row r="37">
      <c r="A37" s="1" t="s">
        <v>56</v>
      </c>
      <c r="B37" s="2">
        <v>45809.0</v>
      </c>
      <c r="C37" s="1" t="s">
        <v>13</v>
      </c>
      <c r="D37" s="1" t="s">
        <v>22</v>
      </c>
      <c r="E37" s="1">
        <v>216.8</v>
      </c>
      <c r="F37" s="1">
        <v>187.4</v>
      </c>
      <c r="G37" s="1">
        <v>29.4</v>
      </c>
      <c r="H37" s="1">
        <v>54390.0</v>
      </c>
      <c r="I37" s="1">
        <v>13.56</v>
      </c>
      <c r="J37" s="1" t="s">
        <v>15</v>
      </c>
      <c r="K37" s="1" t="s">
        <v>55</v>
      </c>
      <c r="L37" s="1">
        <v>337320.0</v>
      </c>
    </row>
    <row r="38">
      <c r="A38" s="1" t="s">
        <v>37</v>
      </c>
      <c r="B38" s="2">
        <v>45689.0</v>
      </c>
      <c r="C38" s="1" t="s">
        <v>13</v>
      </c>
      <c r="D38" s="1" t="s">
        <v>22</v>
      </c>
      <c r="E38" s="1">
        <v>202.8</v>
      </c>
      <c r="F38" s="1">
        <v>185.8</v>
      </c>
      <c r="G38" s="1">
        <v>17.0</v>
      </c>
      <c r="H38" s="1">
        <v>52133.33</v>
      </c>
      <c r="I38" s="1">
        <v>8.38</v>
      </c>
      <c r="J38" s="1" t="s">
        <v>15</v>
      </c>
      <c r="K38" s="1" t="s">
        <v>53</v>
      </c>
      <c r="L38" s="1">
        <v>557400.0</v>
      </c>
    </row>
    <row r="39">
      <c r="A39" s="1" t="s">
        <v>43</v>
      </c>
      <c r="B39" s="2">
        <v>45748.0</v>
      </c>
      <c r="C39" s="1" t="s">
        <v>24</v>
      </c>
      <c r="D39" s="1" t="s">
        <v>44</v>
      </c>
      <c r="E39" s="1">
        <v>184.3</v>
      </c>
      <c r="F39" s="1">
        <v>167.2</v>
      </c>
      <c r="G39" s="1">
        <v>17.1</v>
      </c>
      <c r="H39" s="1">
        <v>47025.0</v>
      </c>
      <c r="I39" s="1">
        <v>9.28</v>
      </c>
      <c r="J39" s="1" t="s">
        <v>15</v>
      </c>
      <c r="K39" s="1" t="s">
        <v>45</v>
      </c>
      <c r="L39" s="1">
        <v>468160.0</v>
      </c>
    </row>
    <row r="40">
      <c r="A40" s="1" t="s">
        <v>28</v>
      </c>
      <c r="B40" s="2">
        <v>45778.0</v>
      </c>
      <c r="C40" s="1" t="s">
        <v>29</v>
      </c>
      <c r="D40" s="1" t="s">
        <v>30</v>
      </c>
      <c r="E40" s="1">
        <v>42.8</v>
      </c>
      <c r="F40" s="1">
        <v>33.8</v>
      </c>
      <c r="G40" s="1">
        <v>9.0</v>
      </c>
      <c r="H40" s="1">
        <v>25200.0</v>
      </c>
      <c r="I40" s="1">
        <v>21.03</v>
      </c>
      <c r="J40" s="1" t="s">
        <v>15</v>
      </c>
      <c r="K40" s="1" t="s">
        <v>50</v>
      </c>
      <c r="L40" s="1">
        <v>87880.0</v>
      </c>
    </row>
    <row r="41">
      <c r="A41" s="1" t="s">
        <v>37</v>
      </c>
      <c r="B41" s="2">
        <v>45717.0</v>
      </c>
      <c r="C41" s="1" t="s">
        <v>13</v>
      </c>
      <c r="D41" s="1" t="s">
        <v>22</v>
      </c>
      <c r="E41" s="1">
        <v>10.3</v>
      </c>
      <c r="F41" s="1">
        <v>8.4</v>
      </c>
      <c r="G41" s="1">
        <v>1.9</v>
      </c>
      <c r="H41" s="1">
        <v>5510.0</v>
      </c>
      <c r="I41" s="1">
        <v>18.45</v>
      </c>
      <c r="J41" s="1" t="s">
        <v>15</v>
      </c>
      <c r="K41" s="1" t="s">
        <v>53</v>
      </c>
      <c r="L41" s="1">
        <v>25200.0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0.5"/>
    <col customWidth="1" min="3" max="3" width="18.5"/>
    <col customWidth="1" min="4" max="4" width="15.63"/>
    <col customWidth="1" min="5" max="5" width="15.5"/>
  </cols>
  <sheetData>
    <row r="1">
      <c r="A1" s="3" t="s">
        <v>57</v>
      </c>
      <c r="B1" s="4"/>
      <c r="C1" s="4"/>
      <c r="D1" s="4"/>
      <c r="E1" s="5"/>
    </row>
    <row r="2">
      <c r="A2" s="6" t="s">
        <v>58</v>
      </c>
      <c r="E2" s="7"/>
    </row>
    <row r="3">
      <c r="E3" s="11" t="s">
        <v>63</v>
      </c>
    </row>
    <row r="4">
      <c r="E4" s="16">
        <f t="shared" ref="E4:E10" si="1">(D4/C4)</f>
        <v>0.584145901</v>
      </c>
    </row>
    <row r="5">
      <c r="E5" s="16">
        <f t="shared" si="1"/>
        <v>0.7623874405</v>
      </c>
    </row>
    <row r="6">
      <c r="E6" s="16">
        <f t="shared" si="1"/>
        <v>0.2659342576</v>
      </c>
    </row>
    <row r="7">
      <c r="E7" s="16">
        <f t="shared" si="1"/>
        <v>0.4182998429</v>
      </c>
    </row>
    <row r="8">
      <c r="E8" s="16">
        <f t="shared" si="1"/>
        <v>0.3992811912</v>
      </c>
    </row>
    <row r="9">
      <c r="E9" s="16">
        <f t="shared" si="1"/>
        <v>0.642912531</v>
      </c>
    </row>
    <row r="10">
      <c r="E10" s="21">
        <f t="shared" si="1"/>
        <v>0.5357437373</v>
      </c>
    </row>
    <row r="11">
      <c r="C11" s="22"/>
    </row>
    <row r="12">
      <c r="C12" s="22"/>
    </row>
    <row r="13">
      <c r="C13" s="22"/>
    </row>
    <row r="14">
      <c r="C14" s="22"/>
    </row>
    <row r="15">
      <c r="C15" s="22"/>
    </row>
    <row r="16">
      <c r="C16" s="22"/>
    </row>
    <row r="17">
      <c r="C17" s="22"/>
    </row>
    <row r="18">
      <c r="C18" s="22"/>
    </row>
    <row r="19">
      <c r="C19" s="22"/>
    </row>
    <row r="20">
      <c r="C20" s="22"/>
    </row>
    <row r="21">
      <c r="C21" s="22"/>
    </row>
    <row r="22">
      <c r="C22" s="22"/>
    </row>
    <row r="23">
      <c r="C23" s="22"/>
    </row>
    <row r="24">
      <c r="C24" s="22"/>
    </row>
    <row r="25">
      <c r="C25" s="22"/>
    </row>
    <row r="26">
      <c r="C26" s="22"/>
    </row>
    <row r="27">
      <c r="C27" s="22"/>
    </row>
    <row r="28">
      <c r="C28" s="22"/>
    </row>
    <row r="29">
      <c r="C29" s="22"/>
    </row>
    <row r="30">
      <c r="C30" s="22"/>
    </row>
    <row r="31">
      <c r="C31" s="22"/>
    </row>
    <row r="32">
      <c r="C32" s="22"/>
    </row>
    <row r="33">
      <c r="C33" s="22"/>
    </row>
    <row r="34">
      <c r="C34" s="22"/>
    </row>
    <row r="35">
      <c r="C35" s="22"/>
    </row>
    <row r="36">
      <c r="C36" s="22"/>
    </row>
    <row r="37">
      <c r="C37" s="22"/>
    </row>
    <row r="38">
      <c r="C38" s="22"/>
    </row>
    <row r="39">
      <c r="C39" s="22"/>
    </row>
    <row r="40">
      <c r="C40" s="22"/>
    </row>
    <row r="41">
      <c r="C41" s="22"/>
    </row>
    <row r="42">
      <c r="C42" s="22"/>
    </row>
    <row r="43">
      <c r="C43" s="22"/>
    </row>
    <row r="44">
      <c r="C44" s="22"/>
    </row>
    <row r="45">
      <c r="C45" s="22"/>
    </row>
    <row r="46">
      <c r="C46" s="22"/>
    </row>
    <row r="47">
      <c r="C47" s="22"/>
    </row>
    <row r="48">
      <c r="C48" s="22"/>
    </row>
    <row r="49">
      <c r="C49" s="22"/>
    </row>
    <row r="50">
      <c r="C50" s="22"/>
    </row>
    <row r="51">
      <c r="C51" s="22"/>
    </row>
    <row r="52">
      <c r="C52" s="22"/>
    </row>
    <row r="53">
      <c r="C53" s="22"/>
    </row>
    <row r="54">
      <c r="C54" s="22"/>
    </row>
    <row r="55">
      <c r="C55" s="22"/>
    </row>
    <row r="56">
      <c r="C56" s="22"/>
    </row>
    <row r="57">
      <c r="C57" s="22"/>
    </row>
    <row r="58">
      <c r="C58" s="22"/>
    </row>
    <row r="59">
      <c r="C59" s="22"/>
    </row>
    <row r="60">
      <c r="C60" s="22"/>
    </row>
    <row r="61">
      <c r="C61" s="22"/>
    </row>
    <row r="62">
      <c r="C62" s="22"/>
    </row>
    <row r="63">
      <c r="C63" s="22"/>
    </row>
    <row r="64">
      <c r="C64" s="22"/>
    </row>
    <row r="65">
      <c r="C65" s="22"/>
    </row>
    <row r="66">
      <c r="C66" s="22"/>
    </row>
    <row r="67">
      <c r="C67" s="22"/>
    </row>
    <row r="68">
      <c r="C68" s="22"/>
    </row>
    <row r="69">
      <c r="C69" s="22"/>
    </row>
    <row r="70">
      <c r="C70" s="22"/>
    </row>
    <row r="71">
      <c r="C71" s="22"/>
    </row>
    <row r="72">
      <c r="C72" s="22"/>
    </row>
    <row r="73">
      <c r="C73" s="22"/>
    </row>
    <row r="74">
      <c r="C74" s="22"/>
    </row>
    <row r="75">
      <c r="C75" s="22"/>
    </row>
    <row r="76">
      <c r="C76" s="22"/>
    </row>
    <row r="77">
      <c r="C77" s="22"/>
    </row>
    <row r="78">
      <c r="C78" s="22"/>
    </row>
    <row r="79">
      <c r="C79" s="22"/>
    </row>
    <row r="80">
      <c r="C80" s="22"/>
    </row>
    <row r="81">
      <c r="C81" s="22"/>
    </row>
    <row r="82">
      <c r="C82" s="22"/>
    </row>
    <row r="83">
      <c r="C83" s="22"/>
    </row>
    <row r="84">
      <c r="C84" s="22"/>
    </row>
    <row r="85">
      <c r="C85" s="22"/>
    </row>
    <row r="86">
      <c r="C86" s="22"/>
    </row>
    <row r="87">
      <c r="C87" s="22"/>
    </row>
    <row r="88">
      <c r="C88" s="22"/>
    </row>
    <row r="89">
      <c r="C89" s="22"/>
    </row>
    <row r="90">
      <c r="C90" s="22"/>
    </row>
    <row r="91">
      <c r="C91" s="22"/>
    </row>
    <row r="92">
      <c r="C92" s="22"/>
    </row>
    <row r="93">
      <c r="C93" s="22"/>
    </row>
    <row r="94">
      <c r="C94" s="22"/>
    </row>
    <row r="95">
      <c r="C95" s="22"/>
    </row>
    <row r="96">
      <c r="C96" s="22"/>
    </row>
    <row r="97">
      <c r="C97" s="22"/>
    </row>
    <row r="98">
      <c r="C98" s="22"/>
    </row>
    <row r="99">
      <c r="C99" s="22"/>
    </row>
    <row r="100">
      <c r="C100" s="22"/>
    </row>
    <row r="101">
      <c r="C101" s="22"/>
    </row>
    <row r="102">
      <c r="C102" s="22"/>
    </row>
    <row r="103">
      <c r="C103" s="22"/>
    </row>
    <row r="104">
      <c r="C104" s="22"/>
    </row>
    <row r="105">
      <c r="C105" s="22"/>
    </row>
    <row r="106">
      <c r="C106" s="22"/>
    </row>
    <row r="107">
      <c r="C107" s="22"/>
    </row>
    <row r="108">
      <c r="C108" s="22"/>
    </row>
    <row r="109">
      <c r="C109" s="22"/>
    </row>
    <row r="110">
      <c r="C110" s="22"/>
    </row>
    <row r="111">
      <c r="C111" s="22"/>
    </row>
    <row r="112">
      <c r="C112" s="22"/>
    </row>
    <row r="113">
      <c r="C113" s="22"/>
    </row>
    <row r="114">
      <c r="C114" s="22"/>
    </row>
    <row r="115">
      <c r="C115" s="22"/>
    </row>
    <row r="116">
      <c r="C116" s="22"/>
    </row>
    <row r="117">
      <c r="C117" s="22"/>
    </row>
    <row r="118">
      <c r="C118" s="22"/>
    </row>
    <row r="119">
      <c r="C119" s="22"/>
    </row>
    <row r="120">
      <c r="C120" s="22"/>
    </row>
    <row r="121">
      <c r="C121" s="22"/>
    </row>
    <row r="122">
      <c r="C122" s="22"/>
    </row>
    <row r="123">
      <c r="C123" s="22"/>
    </row>
    <row r="124">
      <c r="C124" s="22"/>
    </row>
    <row r="125">
      <c r="C125" s="22"/>
    </row>
    <row r="126">
      <c r="C126" s="22"/>
    </row>
    <row r="127">
      <c r="C127" s="22"/>
    </row>
    <row r="128">
      <c r="C128" s="22"/>
    </row>
    <row r="129">
      <c r="C129" s="22"/>
    </row>
    <row r="130">
      <c r="C130" s="22"/>
    </row>
    <row r="131">
      <c r="C131" s="22"/>
    </row>
    <row r="132">
      <c r="C132" s="22"/>
    </row>
    <row r="133">
      <c r="C133" s="22"/>
    </row>
    <row r="134">
      <c r="C134" s="22"/>
    </row>
    <row r="135">
      <c r="C135" s="22"/>
    </row>
    <row r="136">
      <c r="C136" s="22"/>
    </row>
    <row r="137">
      <c r="C137" s="22"/>
    </row>
    <row r="138">
      <c r="C138" s="22"/>
    </row>
    <row r="139">
      <c r="C139" s="22"/>
    </row>
    <row r="140">
      <c r="C140" s="22"/>
    </row>
    <row r="141">
      <c r="C141" s="22"/>
    </row>
    <row r="142">
      <c r="C142" s="22"/>
    </row>
    <row r="143">
      <c r="C143" s="22"/>
    </row>
    <row r="144">
      <c r="C144" s="22"/>
    </row>
    <row r="145">
      <c r="C145" s="22"/>
    </row>
    <row r="146">
      <c r="C146" s="22"/>
    </row>
    <row r="147">
      <c r="C147" s="22"/>
    </row>
    <row r="148">
      <c r="C148" s="22"/>
    </row>
    <row r="149">
      <c r="C149" s="22"/>
    </row>
    <row r="150">
      <c r="C150" s="22"/>
    </row>
    <row r="151">
      <c r="C151" s="22"/>
    </row>
    <row r="152">
      <c r="C152" s="22"/>
    </row>
    <row r="153">
      <c r="C153" s="22"/>
    </row>
    <row r="154">
      <c r="C154" s="22"/>
    </row>
    <row r="155">
      <c r="C155" s="22"/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  <row r="767">
      <c r="C767" s="22"/>
    </row>
    <row r="768">
      <c r="C768" s="22"/>
    </row>
    <row r="769">
      <c r="C769" s="22"/>
    </row>
    <row r="770">
      <c r="C770" s="22"/>
    </row>
    <row r="771">
      <c r="C771" s="22"/>
    </row>
    <row r="772">
      <c r="C772" s="22"/>
    </row>
    <row r="773">
      <c r="C773" s="22"/>
    </row>
    <row r="774">
      <c r="C774" s="22"/>
    </row>
    <row r="775">
      <c r="C775" s="22"/>
    </row>
    <row r="776">
      <c r="C776" s="22"/>
    </row>
    <row r="777">
      <c r="C777" s="22"/>
    </row>
    <row r="778">
      <c r="C778" s="22"/>
    </row>
    <row r="779">
      <c r="C779" s="22"/>
    </row>
    <row r="780">
      <c r="C780" s="22"/>
    </row>
    <row r="781">
      <c r="C781" s="22"/>
    </row>
    <row r="782">
      <c r="C782" s="22"/>
    </row>
    <row r="783">
      <c r="C783" s="22"/>
    </row>
    <row r="784">
      <c r="C784" s="22"/>
    </row>
    <row r="785">
      <c r="C785" s="22"/>
    </row>
    <row r="786">
      <c r="C786" s="22"/>
    </row>
    <row r="787">
      <c r="C787" s="22"/>
    </row>
    <row r="788">
      <c r="C788" s="22"/>
    </row>
    <row r="789">
      <c r="C789" s="22"/>
    </row>
    <row r="790">
      <c r="C790" s="22"/>
    </row>
    <row r="791">
      <c r="C791" s="22"/>
    </row>
    <row r="792">
      <c r="C792" s="22"/>
    </row>
    <row r="793">
      <c r="C793" s="22"/>
    </row>
    <row r="794">
      <c r="C794" s="22"/>
    </row>
    <row r="795">
      <c r="C795" s="22"/>
    </row>
    <row r="796">
      <c r="C796" s="22"/>
    </row>
    <row r="797">
      <c r="C797" s="22"/>
    </row>
    <row r="798">
      <c r="C798" s="22"/>
    </row>
    <row r="799">
      <c r="C799" s="22"/>
    </row>
    <row r="800">
      <c r="C800" s="22"/>
    </row>
    <row r="801">
      <c r="C801" s="22"/>
    </row>
    <row r="802">
      <c r="C802" s="22"/>
    </row>
    <row r="803">
      <c r="C803" s="22"/>
    </row>
    <row r="804">
      <c r="C804" s="22"/>
    </row>
    <row r="805">
      <c r="C805" s="22"/>
    </row>
    <row r="806">
      <c r="C806" s="22"/>
    </row>
    <row r="807">
      <c r="C807" s="22"/>
    </row>
    <row r="808">
      <c r="C808" s="22"/>
    </row>
    <row r="809">
      <c r="C809" s="22"/>
    </row>
    <row r="810">
      <c r="C810" s="22"/>
    </row>
    <row r="811">
      <c r="C811" s="22"/>
    </row>
    <row r="812">
      <c r="C812" s="22"/>
    </row>
    <row r="813">
      <c r="C813" s="22"/>
    </row>
    <row r="814">
      <c r="C814" s="22"/>
    </row>
    <row r="815">
      <c r="C815" s="22"/>
    </row>
    <row r="816">
      <c r="C816" s="22"/>
    </row>
    <row r="817">
      <c r="C817" s="22"/>
    </row>
    <row r="818">
      <c r="C818" s="22"/>
    </row>
    <row r="819">
      <c r="C819" s="22"/>
    </row>
    <row r="820">
      <c r="C820" s="22"/>
    </row>
    <row r="821">
      <c r="C821" s="22"/>
    </row>
    <row r="822">
      <c r="C822" s="22"/>
    </row>
    <row r="823">
      <c r="C823" s="22"/>
    </row>
    <row r="824">
      <c r="C824" s="22"/>
    </row>
    <row r="825">
      <c r="C825" s="22"/>
    </row>
    <row r="826">
      <c r="C826" s="22"/>
    </row>
    <row r="827">
      <c r="C827" s="22"/>
    </row>
    <row r="828">
      <c r="C828" s="22"/>
    </row>
    <row r="829">
      <c r="C829" s="22"/>
    </row>
    <row r="830">
      <c r="C830" s="22"/>
    </row>
    <row r="831">
      <c r="C831" s="22"/>
    </row>
    <row r="832">
      <c r="C832" s="22"/>
    </row>
    <row r="833">
      <c r="C833" s="22"/>
    </row>
    <row r="834">
      <c r="C834" s="22"/>
    </row>
    <row r="835">
      <c r="C835" s="22"/>
    </row>
    <row r="836">
      <c r="C836" s="22"/>
    </row>
    <row r="837">
      <c r="C837" s="22"/>
    </row>
    <row r="838">
      <c r="C838" s="22"/>
    </row>
    <row r="839">
      <c r="C839" s="22"/>
    </row>
    <row r="840">
      <c r="C840" s="22"/>
    </row>
    <row r="841">
      <c r="C841" s="22"/>
    </row>
    <row r="842">
      <c r="C842" s="22"/>
    </row>
    <row r="843">
      <c r="C843" s="22"/>
    </row>
    <row r="844">
      <c r="C844" s="22"/>
    </row>
    <row r="845">
      <c r="C845" s="22"/>
    </row>
    <row r="846">
      <c r="C846" s="22"/>
    </row>
    <row r="847">
      <c r="C847" s="22"/>
    </row>
    <row r="848">
      <c r="C848" s="22"/>
    </row>
    <row r="849">
      <c r="C849" s="22"/>
    </row>
    <row r="850">
      <c r="C850" s="22"/>
    </row>
    <row r="851">
      <c r="C851" s="22"/>
    </row>
    <row r="852">
      <c r="C852" s="22"/>
    </row>
    <row r="853">
      <c r="C853" s="22"/>
    </row>
    <row r="854">
      <c r="C854" s="22"/>
    </row>
    <row r="855">
      <c r="C855" s="22"/>
    </row>
    <row r="856">
      <c r="C856" s="22"/>
    </row>
    <row r="857">
      <c r="C857" s="22"/>
    </row>
    <row r="858">
      <c r="C858" s="22"/>
    </row>
    <row r="859">
      <c r="C859" s="22"/>
    </row>
    <row r="860">
      <c r="C860" s="22"/>
    </row>
    <row r="861">
      <c r="C861" s="22"/>
    </row>
    <row r="862">
      <c r="C862" s="22"/>
    </row>
    <row r="863">
      <c r="C863" s="22"/>
    </row>
    <row r="864">
      <c r="C864" s="22"/>
    </row>
    <row r="865">
      <c r="C865" s="22"/>
    </row>
    <row r="866">
      <c r="C866" s="22"/>
    </row>
    <row r="867">
      <c r="C867" s="22"/>
    </row>
    <row r="868">
      <c r="C868" s="22"/>
    </row>
    <row r="869">
      <c r="C869" s="22"/>
    </row>
    <row r="870">
      <c r="C870" s="22"/>
    </row>
    <row r="871">
      <c r="C871" s="22"/>
    </row>
    <row r="872">
      <c r="C872" s="22"/>
    </row>
    <row r="873">
      <c r="C873" s="22"/>
    </row>
    <row r="874">
      <c r="C874" s="22"/>
    </row>
    <row r="875">
      <c r="C875" s="22"/>
    </row>
    <row r="876">
      <c r="C876" s="22"/>
    </row>
    <row r="877">
      <c r="C877" s="22"/>
    </row>
    <row r="878">
      <c r="C878" s="22"/>
    </row>
    <row r="879">
      <c r="C879" s="22"/>
    </row>
    <row r="880">
      <c r="C880" s="22"/>
    </row>
    <row r="881">
      <c r="C881" s="22"/>
    </row>
    <row r="882">
      <c r="C882" s="22"/>
    </row>
    <row r="883">
      <c r="C883" s="22"/>
    </row>
    <row r="884">
      <c r="C884" s="22"/>
    </row>
    <row r="885">
      <c r="C885" s="22"/>
    </row>
    <row r="886">
      <c r="C886" s="22"/>
    </row>
    <row r="887">
      <c r="C887" s="22"/>
    </row>
    <row r="888">
      <c r="C888" s="22"/>
    </row>
    <row r="889">
      <c r="C889" s="22"/>
    </row>
    <row r="890">
      <c r="C890" s="22"/>
    </row>
    <row r="891">
      <c r="C891" s="22"/>
    </row>
    <row r="892">
      <c r="C892" s="22"/>
    </row>
    <row r="893">
      <c r="C893" s="22"/>
    </row>
    <row r="894">
      <c r="C894" s="22"/>
    </row>
    <row r="895">
      <c r="C895" s="22"/>
    </row>
    <row r="896">
      <c r="C896" s="22"/>
    </row>
    <row r="897">
      <c r="C897" s="22"/>
    </row>
    <row r="898">
      <c r="C898" s="22"/>
    </row>
    <row r="899">
      <c r="C899" s="22"/>
    </row>
    <row r="900">
      <c r="C900" s="22"/>
    </row>
    <row r="901">
      <c r="C901" s="22"/>
    </row>
    <row r="902">
      <c r="C902" s="22"/>
    </row>
    <row r="903">
      <c r="C903" s="22"/>
    </row>
    <row r="904">
      <c r="C904" s="22"/>
    </row>
    <row r="905">
      <c r="C905" s="22"/>
    </row>
    <row r="906">
      <c r="C906" s="22"/>
    </row>
    <row r="907">
      <c r="C907" s="22"/>
    </row>
    <row r="908">
      <c r="C908" s="22"/>
    </row>
    <row r="909">
      <c r="C909" s="22"/>
    </row>
    <row r="910">
      <c r="C910" s="22"/>
    </row>
    <row r="911">
      <c r="C911" s="22"/>
    </row>
    <row r="912">
      <c r="C912" s="22"/>
    </row>
    <row r="913">
      <c r="C913" s="22"/>
    </row>
    <row r="914">
      <c r="C914" s="22"/>
    </row>
    <row r="915">
      <c r="C915" s="22"/>
    </row>
    <row r="916">
      <c r="C916" s="22"/>
    </row>
    <row r="917">
      <c r="C917" s="22"/>
    </row>
    <row r="918">
      <c r="C918" s="22"/>
    </row>
    <row r="919">
      <c r="C919" s="22"/>
    </row>
    <row r="920">
      <c r="C920" s="22"/>
    </row>
    <row r="921">
      <c r="C921" s="22"/>
    </row>
    <row r="922">
      <c r="C922" s="22"/>
    </row>
    <row r="923">
      <c r="C923" s="22"/>
    </row>
    <row r="924">
      <c r="C924" s="22"/>
    </row>
    <row r="925">
      <c r="C925" s="22"/>
    </row>
    <row r="926">
      <c r="C926" s="22"/>
    </row>
    <row r="927">
      <c r="C927" s="22"/>
    </row>
    <row r="928">
      <c r="C928" s="22"/>
    </row>
    <row r="929">
      <c r="C929" s="22"/>
    </row>
    <row r="930">
      <c r="C930" s="22"/>
    </row>
    <row r="931">
      <c r="C931" s="22"/>
    </row>
    <row r="932">
      <c r="C932" s="22"/>
    </row>
    <row r="933">
      <c r="C933" s="22"/>
    </row>
    <row r="934">
      <c r="C934" s="22"/>
    </row>
    <row r="935">
      <c r="C935" s="22"/>
    </row>
    <row r="936">
      <c r="C936" s="22"/>
    </row>
    <row r="937">
      <c r="C937" s="22"/>
    </row>
    <row r="938">
      <c r="C938" s="22"/>
    </row>
    <row r="939">
      <c r="C939" s="22"/>
    </row>
    <row r="940">
      <c r="C940" s="22"/>
    </row>
    <row r="941">
      <c r="C941" s="22"/>
    </row>
    <row r="942">
      <c r="C942" s="22"/>
    </row>
    <row r="943">
      <c r="C943" s="22"/>
    </row>
    <row r="944">
      <c r="C944" s="22"/>
    </row>
    <row r="945">
      <c r="C945" s="22"/>
    </row>
    <row r="946">
      <c r="C946" s="22"/>
    </row>
    <row r="947">
      <c r="C947" s="22"/>
    </row>
    <row r="948">
      <c r="C948" s="22"/>
    </row>
    <row r="949">
      <c r="C949" s="22"/>
    </row>
    <row r="950">
      <c r="C950" s="22"/>
    </row>
    <row r="951">
      <c r="C951" s="22"/>
    </row>
    <row r="952">
      <c r="C952" s="22"/>
    </row>
    <row r="953">
      <c r="C953" s="22"/>
    </row>
    <row r="954">
      <c r="C954" s="22"/>
    </row>
    <row r="955">
      <c r="C955" s="22"/>
    </row>
    <row r="956">
      <c r="C956" s="22"/>
    </row>
    <row r="957">
      <c r="C957" s="22"/>
    </row>
    <row r="958">
      <c r="C958" s="22"/>
    </row>
    <row r="959">
      <c r="C959" s="22"/>
    </row>
    <row r="960">
      <c r="C960" s="22"/>
    </row>
    <row r="961">
      <c r="C961" s="22"/>
    </row>
    <row r="962">
      <c r="C962" s="22"/>
    </row>
    <row r="963">
      <c r="C963" s="22"/>
    </row>
    <row r="964">
      <c r="C964" s="22"/>
    </row>
    <row r="965">
      <c r="C965" s="22"/>
    </row>
    <row r="966">
      <c r="C966" s="22"/>
    </row>
    <row r="967">
      <c r="C967" s="22"/>
    </row>
    <row r="968">
      <c r="C968" s="22"/>
    </row>
    <row r="969">
      <c r="C969" s="22"/>
    </row>
    <row r="970">
      <c r="C970" s="22"/>
    </row>
    <row r="971">
      <c r="C971" s="22"/>
    </row>
    <row r="972">
      <c r="C972" s="22"/>
    </row>
    <row r="973">
      <c r="C973" s="22"/>
    </row>
    <row r="974">
      <c r="C974" s="22"/>
    </row>
    <row r="975">
      <c r="C975" s="22"/>
    </row>
    <row r="976">
      <c r="C976" s="22"/>
    </row>
    <row r="977">
      <c r="C977" s="22"/>
    </row>
    <row r="978">
      <c r="C978" s="22"/>
    </row>
    <row r="979">
      <c r="C979" s="22"/>
    </row>
    <row r="980">
      <c r="C980" s="22"/>
    </row>
    <row r="981">
      <c r="C981" s="22"/>
    </row>
    <row r="982">
      <c r="C982" s="22"/>
    </row>
    <row r="983">
      <c r="C983" s="22"/>
    </row>
    <row r="984">
      <c r="C984" s="22"/>
    </row>
    <row r="985">
      <c r="C985" s="22"/>
    </row>
    <row r="986">
      <c r="C986" s="22"/>
    </row>
    <row r="987">
      <c r="C987" s="22"/>
    </row>
    <row r="988">
      <c r="C988" s="22"/>
    </row>
    <row r="989">
      <c r="C989" s="22"/>
    </row>
    <row r="990">
      <c r="C990" s="22"/>
    </row>
    <row r="991">
      <c r="C991" s="22"/>
    </row>
    <row r="992">
      <c r="C992" s="22"/>
    </row>
    <row r="993">
      <c r="C993" s="22"/>
    </row>
    <row r="994">
      <c r="C994" s="22"/>
    </row>
    <row r="995">
      <c r="C995" s="22"/>
    </row>
    <row r="996">
      <c r="C996" s="22"/>
    </row>
    <row r="997">
      <c r="C997" s="22"/>
    </row>
    <row r="998">
      <c r="C998" s="22"/>
    </row>
    <row r="999">
      <c r="C999" s="22"/>
    </row>
    <row r="1000">
      <c r="C1000" s="22"/>
    </row>
    <row r="1001">
      <c r="C1001" s="22"/>
    </row>
    <row r="1002">
      <c r="C1002" s="22"/>
    </row>
  </sheetData>
  <mergeCells count="2">
    <mergeCell ref="A1:E1"/>
    <mergeCell ref="A2: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8.88"/>
    <col customWidth="1" min="3" max="3" width="15.88"/>
    <col customWidth="1" min="4" max="4" width="13.0"/>
    <col customWidth="1" min="5" max="5" width="15.38"/>
    <col customWidth="1" min="6" max="6" width="18.25"/>
  </cols>
  <sheetData>
    <row r="1">
      <c r="A1" s="23" t="s">
        <v>65</v>
      </c>
    </row>
    <row r="2">
      <c r="A2" s="24" t="str">
        <f>IFERROR(__xludf.DUMMYFUNCTION("QUERY('Raw Data'!A:L, ""select A, sum(H) where A is not null group by A order by sum(H) desc label sum(H) 'total_leakage_inr'"",1)"),"project_id")</f>
        <v>project_id</v>
      </c>
      <c r="B2" s="24" t="str">
        <f>IFERROR(__xludf.DUMMYFUNCTION("""COMPUTED_VALUE"""),"total_leakage_inr")</f>
        <v>total_leakage_inr</v>
      </c>
      <c r="C2" s="25" t="s">
        <v>66</v>
      </c>
      <c r="D2" s="25" t="s">
        <v>67</v>
      </c>
      <c r="E2" s="25" t="s">
        <v>68</v>
      </c>
      <c r="F2" s="25" t="s">
        <v>69</v>
      </c>
    </row>
    <row r="3">
      <c r="A3" s="26" t="str">
        <f>IFERROR(__xludf.DUMMYFUNCTION("""COMPUTED_VALUE"""),"PROJ-014")</f>
        <v>PROJ-014</v>
      </c>
      <c r="B3" s="27">
        <f>IFERROR(__xludf.DUMMYFUNCTION("""COMPUTED_VALUE"""),2281092.5)</f>
        <v>2281092.5</v>
      </c>
      <c r="C3" s="27">
        <f t="shared" ref="C3:C22" si="2">SUM($B$3:B3)</f>
        <v>2281092.5</v>
      </c>
      <c r="D3" s="28">
        <f t="shared" ref="D3:E3" si="1">B3/$C$22</f>
        <v>0.1518383612</v>
      </c>
      <c r="E3" s="28">
        <f t="shared" si="1"/>
        <v>0.1518383612</v>
      </c>
      <c r="F3" s="29" t="str">
        <f t="shared" ref="F3:F22" si="4">IF(E3&lt;=0.8,"Top 80% Contributors","Remaining 20%")</f>
        <v>Top 80% Contributors</v>
      </c>
    </row>
    <row r="4">
      <c r="A4" s="26" t="str">
        <f>IFERROR(__xludf.DUMMYFUNCTION("""COMPUTED_VALUE"""),"PROJ-016")</f>
        <v>PROJ-016</v>
      </c>
      <c r="B4" s="27">
        <f>IFERROR(__xludf.DUMMYFUNCTION("""COMPUTED_VALUE"""),1455600.0)</f>
        <v>1455600</v>
      </c>
      <c r="C4" s="27">
        <f t="shared" si="2"/>
        <v>3736692.5</v>
      </c>
      <c r="D4" s="28">
        <f t="shared" ref="D4:E4" si="3">B4/$C$22</f>
        <v>0.09689037974</v>
      </c>
      <c r="E4" s="28">
        <f t="shared" si="3"/>
        <v>0.2487287409</v>
      </c>
      <c r="F4" s="29" t="str">
        <f t="shared" si="4"/>
        <v>Top 80% Contributors</v>
      </c>
    </row>
    <row r="5">
      <c r="A5" s="26" t="str">
        <f>IFERROR(__xludf.DUMMYFUNCTION("""COMPUTED_VALUE"""),"PROJ-004")</f>
        <v>PROJ-004</v>
      </c>
      <c r="B5" s="27">
        <f>IFERROR(__xludf.DUMMYFUNCTION("""COMPUTED_VALUE"""),1269942.0)</f>
        <v>1269942</v>
      </c>
      <c r="C5" s="27">
        <f t="shared" si="2"/>
        <v>5006634.5</v>
      </c>
      <c r="D5" s="28">
        <f t="shared" ref="D5:E5" si="5">B5/$C$22</f>
        <v>0.08453226342</v>
      </c>
      <c r="E5" s="28">
        <f t="shared" si="5"/>
        <v>0.3332610044</v>
      </c>
      <c r="F5" s="29" t="str">
        <f t="shared" si="4"/>
        <v>Top 80% Contributors</v>
      </c>
    </row>
    <row r="6">
      <c r="A6" s="26" t="str">
        <f>IFERROR(__xludf.DUMMYFUNCTION("""COMPUTED_VALUE"""),"PROJ-008")</f>
        <v>PROJ-008</v>
      </c>
      <c r="B6" s="27">
        <f>IFERROR(__xludf.DUMMYFUNCTION("""COMPUTED_VALUE"""),1155412.5)</f>
        <v>1155412.5</v>
      </c>
      <c r="C6" s="27">
        <f t="shared" si="2"/>
        <v>6162047</v>
      </c>
      <c r="D6" s="28">
        <f t="shared" ref="D6:E6" si="6">B6/$C$22</f>
        <v>0.07690873584</v>
      </c>
      <c r="E6" s="28">
        <f t="shared" si="6"/>
        <v>0.4101697402</v>
      </c>
      <c r="F6" s="29" t="str">
        <f t="shared" si="4"/>
        <v>Top 80% Contributors</v>
      </c>
    </row>
    <row r="7">
      <c r="A7" s="26" t="str">
        <f>IFERROR(__xludf.DUMMYFUNCTION("""COMPUTED_VALUE"""),"PROJ-017")</f>
        <v>PROJ-017</v>
      </c>
      <c r="B7" s="27">
        <f>IFERROR(__xludf.DUMMYFUNCTION("""COMPUTED_VALUE"""),1058210.0)</f>
        <v>1058210</v>
      </c>
      <c r="C7" s="27">
        <f t="shared" si="2"/>
        <v>7220257</v>
      </c>
      <c r="D7" s="28">
        <f t="shared" ref="D7:E7" si="7">B7/$C$22</f>
        <v>0.07043856056</v>
      </c>
      <c r="E7" s="28">
        <f t="shared" si="7"/>
        <v>0.4806083008</v>
      </c>
      <c r="F7" s="29" t="str">
        <f t="shared" si="4"/>
        <v>Top 80% Contributors</v>
      </c>
    </row>
    <row r="8">
      <c r="A8" s="26" t="str">
        <f>IFERROR(__xludf.DUMMYFUNCTION("""COMPUTED_VALUE"""),"PROJ-009")</f>
        <v>PROJ-009</v>
      </c>
      <c r="B8" s="27">
        <f>IFERROR(__xludf.DUMMYFUNCTION("""COMPUTED_VALUE"""),1043093.33)</f>
        <v>1043093.33</v>
      </c>
      <c r="C8" s="27">
        <f t="shared" si="2"/>
        <v>8263350.33</v>
      </c>
      <c r="D8" s="28">
        <f t="shared" ref="D8:E8" si="8">B8/$C$22</f>
        <v>0.06943233639</v>
      </c>
      <c r="E8" s="28">
        <f t="shared" si="8"/>
        <v>0.5500406371</v>
      </c>
      <c r="F8" s="29" t="str">
        <f t="shared" si="4"/>
        <v>Top 80% Contributors</v>
      </c>
    </row>
    <row r="9">
      <c r="A9" s="26" t="str">
        <f>IFERROR(__xludf.DUMMYFUNCTION("""COMPUTED_VALUE"""),"PROJ-013")</f>
        <v>PROJ-013</v>
      </c>
      <c r="B9" s="27">
        <f>IFERROR(__xludf.DUMMYFUNCTION("""COMPUTED_VALUE"""),870883.33)</f>
        <v>870883.33</v>
      </c>
      <c r="C9" s="27">
        <f t="shared" si="2"/>
        <v>9134233.66</v>
      </c>
      <c r="D9" s="28">
        <f t="shared" ref="D9:E9" si="9">B9/$C$22</f>
        <v>0.05796937109</v>
      </c>
      <c r="E9" s="28">
        <f t="shared" si="9"/>
        <v>0.6080100082</v>
      </c>
      <c r="F9" s="29" t="str">
        <f t="shared" si="4"/>
        <v>Top 80% Contributors</v>
      </c>
    </row>
    <row r="10">
      <c r="A10" s="26" t="str">
        <f>IFERROR(__xludf.DUMMYFUNCTION("""COMPUTED_VALUE"""),"PROJ-005")</f>
        <v>PROJ-005</v>
      </c>
      <c r="B10" s="27">
        <f>IFERROR(__xludf.DUMMYFUNCTION("""COMPUTED_VALUE"""),847370.0)</f>
        <v>847370</v>
      </c>
      <c r="C10" s="27">
        <f t="shared" si="2"/>
        <v>9981603.66</v>
      </c>
      <c r="D10" s="28">
        <f t="shared" ref="D10:E10" si="10">B10/$C$22</f>
        <v>0.05640423268</v>
      </c>
      <c r="E10" s="28">
        <f t="shared" si="10"/>
        <v>0.6644142409</v>
      </c>
      <c r="F10" s="29" t="str">
        <f t="shared" si="4"/>
        <v>Top 80% Contributors</v>
      </c>
    </row>
    <row r="11">
      <c r="A11" s="26" t="str">
        <f>IFERROR(__xludf.DUMMYFUNCTION("""COMPUTED_VALUE"""),"PROJ-015")</f>
        <v>PROJ-015</v>
      </c>
      <c r="B11" s="27">
        <f>IFERROR(__xludf.DUMMYFUNCTION("""COMPUTED_VALUE"""),835340.0)</f>
        <v>835340</v>
      </c>
      <c r="C11" s="27">
        <f t="shared" si="2"/>
        <v>10816943.66</v>
      </c>
      <c r="D11" s="28">
        <f t="shared" ref="D11:E11" si="11">B11/$C$22</f>
        <v>0.05560346923</v>
      </c>
      <c r="E11" s="28">
        <f t="shared" si="11"/>
        <v>0.7200177101</v>
      </c>
      <c r="F11" s="29" t="str">
        <f t="shared" si="4"/>
        <v>Top 80% Contributors</v>
      </c>
    </row>
    <row r="12">
      <c r="A12" s="30" t="str">
        <f>IFERROR(__xludf.DUMMYFUNCTION("""COMPUTED_VALUE"""),"PROJ-007")</f>
        <v>PROJ-007</v>
      </c>
      <c r="B12" s="31">
        <f>IFERROR(__xludf.DUMMYFUNCTION("""COMPUTED_VALUE"""),727852.0)</f>
        <v>727852</v>
      </c>
      <c r="C12" s="31">
        <f t="shared" si="2"/>
        <v>11544795.66</v>
      </c>
      <c r="D12" s="32">
        <f t="shared" ref="D12:E12" si="12">B12/$C$22</f>
        <v>0.04844865119</v>
      </c>
      <c r="E12" s="32">
        <f t="shared" si="12"/>
        <v>0.7684663613</v>
      </c>
      <c r="F12" s="33" t="str">
        <f t="shared" si="4"/>
        <v>Top 80% Contributors</v>
      </c>
    </row>
    <row r="13">
      <c r="A13" s="26" t="str">
        <f>IFERROR(__xludf.DUMMYFUNCTION("""COMPUTED_VALUE"""),"PROJ-006")</f>
        <v>PROJ-006</v>
      </c>
      <c r="B13" s="27">
        <f>IFERROR(__xludf.DUMMYFUNCTION("""COMPUTED_VALUE"""),586696.67)</f>
        <v>586696.67</v>
      </c>
      <c r="C13" s="27">
        <f t="shared" si="2"/>
        <v>12131492.33</v>
      </c>
      <c r="D13" s="28">
        <f t="shared" ref="D13:E13" si="13">B13/$C$22</f>
        <v>0.03905280513</v>
      </c>
      <c r="E13" s="28">
        <f t="shared" si="13"/>
        <v>0.8075191665</v>
      </c>
      <c r="F13" s="34" t="str">
        <f t="shared" si="4"/>
        <v>Remaining 20%</v>
      </c>
    </row>
    <row r="14">
      <c r="A14" s="26" t="str">
        <f>IFERROR(__xludf.DUMMYFUNCTION("""COMPUTED_VALUE"""),"PROJ-002")</f>
        <v>PROJ-002</v>
      </c>
      <c r="B14" s="27">
        <f>IFERROR(__xludf.DUMMYFUNCTION("""COMPUTED_VALUE"""),580613.33)</f>
        <v>580613.33</v>
      </c>
      <c r="C14" s="27">
        <f t="shared" si="2"/>
        <v>12712105.66</v>
      </c>
      <c r="D14" s="28">
        <f t="shared" ref="D14:E14" si="14">B14/$C$22</f>
        <v>0.03864787444</v>
      </c>
      <c r="E14" s="28">
        <f t="shared" si="14"/>
        <v>0.8461670409</v>
      </c>
      <c r="F14" s="34" t="str">
        <f t="shared" si="4"/>
        <v>Remaining 20%</v>
      </c>
    </row>
    <row r="15">
      <c r="A15" s="26" t="str">
        <f>IFERROR(__xludf.DUMMYFUNCTION("""COMPUTED_VALUE"""),"PROJ-018")</f>
        <v>PROJ-018</v>
      </c>
      <c r="B15" s="27">
        <f>IFERROR(__xludf.DUMMYFUNCTION("""COMPUTED_VALUE"""),564800.0)</f>
        <v>564800</v>
      </c>
      <c r="C15" s="27">
        <f t="shared" si="2"/>
        <v>13276905.66</v>
      </c>
      <c r="D15" s="28">
        <f t="shared" ref="D15:E15" si="15">B15/$C$22</f>
        <v>0.03759527788</v>
      </c>
      <c r="E15" s="28">
        <f t="shared" si="15"/>
        <v>0.8837623188</v>
      </c>
      <c r="F15" s="34" t="str">
        <f t="shared" si="4"/>
        <v>Remaining 20%</v>
      </c>
    </row>
    <row r="16">
      <c r="A16" s="26" t="str">
        <f>IFERROR(__xludf.DUMMYFUNCTION("""COMPUTED_VALUE"""),"PROJ-010")</f>
        <v>PROJ-010</v>
      </c>
      <c r="B16" s="27">
        <f>IFERROR(__xludf.DUMMYFUNCTION("""COMPUTED_VALUE"""),538666.67)</f>
        <v>538666.67</v>
      </c>
      <c r="C16" s="27">
        <f t="shared" si="2"/>
        <v>13815572.33</v>
      </c>
      <c r="D16" s="28">
        <f t="shared" ref="D16:E16" si="16">B16/$C$22</f>
        <v>0.03585574211</v>
      </c>
      <c r="E16" s="28">
        <f t="shared" si="16"/>
        <v>0.9196180609</v>
      </c>
      <c r="F16" s="34" t="str">
        <f t="shared" si="4"/>
        <v>Remaining 20%</v>
      </c>
    </row>
    <row r="17">
      <c r="A17" s="26" t="str">
        <f>IFERROR(__xludf.DUMMYFUNCTION("""COMPUTED_VALUE"""),"PROJ-001")</f>
        <v>PROJ-001</v>
      </c>
      <c r="B17" s="27">
        <f>IFERROR(__xludf.DUMMYFUNCTION("""COMPUTED_VALUE"""),265725.0)</f>
        <v>265725</v>
      </c>
      <c r="C17" s="27">
        <f t="shared" si="2"/>
        <v>14081297.33</v>
      </c>
      <c r="D17" s="28">
        <f t="shared" ref="D17:E17" si="17">B17/$C$22</f>
        <v>0.01768768629</v>
      </c>
      <c r="E17" s="28">
        <f t="shared" si="17"/>
        <v>0.9373057472</v>
      </c>
      <c r="F17" s="34" t="str">
        <f t="shared" si="4"/>
        <v>Remaining 20%</v>
      </c>
    </row>
    <row r="18">
      <c r="A18" s="26" t="str">
        <f>IFERROR(__xludf.DUMMYFUNCTION("""COMPUTED_VALUE"""),"PROJ-023")</f>
        <v>PROJ-023</v>
      </c>
      <c r="B18" s="27">
        <f>IFERROR(__xludf.DUMMYFUNCTION("""COMPUTED_VALUE"""),244566.0)</f>
        <v>244566</v>
      </c>
      <c r="C18" s="27">
        <f t="shared" si="2"/>
        <v>14325863.33</v>
      </c>
      <c r="D18" s="28">
        <f t="shared" ref="D18:E18" si="18">B18/$C$22</f>
        <v>0.01627926121</v>
      </c>
      <c r="E18" s="28">
        <f t="shared" si="18"/>
        <v>0.9535850084</v>
      </c>
      <c r="F18" s="34" t="str">
        <f t="shared" si="4"/>
        <v>Remaining 20%</v>
      </c>
    </row>
    <row r="19">
      <c r="A19" s="26" t="str">
        <f>IFERROR(__xludf.DUMMYFUNCTION("""COMPUTED_VALUE"""),"PROJ-020")</f>
        <v>PROJ-020</v>
      </c>
      <c r="B19" s="27">
        <f>IFERROR(__xludf.DUMMYFUNCTION("""COMPUTED_VALUE"""),242628.33)</f>
        <v>242628.33</v>
      </c>
      <c r="C19" s="27">
        <f t="shared" si="2"/>
        <v>14568491.66</v>
      </c>
      <c r="D19" s="28">
        <f t="shared" ref="D19:E19" si="19">B19/$C$22</f>
        <v>0.01615028238</v>
      </c>
      <c r="E19" s="28">
        <f t="shared" si="19"/>
        <v>0.9697352908</v>
      </c>
      <c r="F19" s="34" t="str">
        <f t="shared" si="4"/>
        <v>Remaining 20%</v>
      </c>
    </row>
    <row r="20">
      <c r="A20" s="26" t="str">
        <f>IFERROR(__xludf.DUMMYFUNCTION("""COMPUTED_VALUE"""),"PROJ-012")</f>
        <v>PROJ-012</v>
      </c>
      <c r="B20" s="27">
        <f>IFERROR(__xludf.DUMMYFUNCTION("""COMPUTED_VALUE"""),184666.66999999998)</f>
        <v>184666.67</v>
      </c>
      <c r="C20" s="27">
        <f t="shared" si="2"/>
        <v>14753158.33</v>
      </c>
      <c r="D20" s="28">
        <f t="shared" ref="D20:E20" si="20">B20/$C$22</f>
        <v>0.01229212956</v>
      </c>
      <c r="E20" s="28">
        <f t="shared" si="20"/>
        <v>0.9820274203</v>
      </c>
      <c r="F20" s="34" t="str">
        <f t="shared" si="4"/>
        <v>Remaining 20%</v>
      </c>
    </row>
    <row r="21">
      <c r="A21" s="26" t="str">
        <f>IFERROR(__xludf.DUMMYFUNCTION("""COMPUTED_VALUE"""),"PROJ-003")</f>
        <v>PROJ-003</v>
      </c>
      <c r="B21" s="27">
        <f>IFERROR(__xludf.DUMMYFUNCTION("""COMPUTED_VALUE"""),180230.0)</f>
        <v>180230</v>
      </c>
      <c r="C21" s="27">
        <f t="shared" si="2"/>
        <v>14933388.33</v>
      </c>
      <c r="D21" s="28">
        <f t="shared" ref="D21:E21" si="21">B21/$C$22</f>
        <v>0.0119968076</v>
      </c>
      <c r="E21" s="28">
        <f t="shared" si="21"/>
        <v>0.9940242279</v>
      </c>
      <c r="F21" s="34" t="str">
        <f t="shared" si="4"/>
        <v>Remaining 20%</v>
      </c>
    </row>
    <row r="22">
      <c r="A22" s="35" t="str">
        <f>IFERROR(__xludf.DUMMYFUNCTION("""COMPUTED_VALUE"""),"PROJ-021")</f>
        <v>PROJ-021</v>
      </c>
      <c r="B22" s="36">
        <f>IFERROR(__xludf.DUMMYFUNCTION("""COMPUTED_VALUE"""),89775.0)</f>
        <v>89775</v>
      </c>
      <c r="C22" s="36">
        <f t="shared" si="2"/>
        <v>15023163.33</v>
      </c>
      <c r="D22" s="37">
        <f t="shared" ref="D22:E22" si="22">B22/$C$22</f>
        <v>0.005975772081</v>
      </c>
      <c r="E22" s="37">
        <f t="shared" si="22"/>
        <v>1</v>
      </c>
      <c r="F22" s="38" t="str">
        <f t="shared" si="4"/>
        <v>Remaining 20%</v>
      </c>
    </row>
  </sheetData>
  <mergeCells count="1">
    <mergeCell ref="A1:F1"/>
  </mergeCells>
  <conditionalFormatting sqref="F3:F12">
    <cfRule type="expression" dxfId="0" priority="1" operator="containsText">
      <formula>NOT(ISERROR(SEARCH((IF(E3&lt;=0.8,"Top 80% Contributors","Remaining 20%")),(F3))))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39" t="s">
        <v>70</v>
      </c>
      <c r="B1" s="40"/>
    </row>
    <row r="2">
      <c r="A2" s="41" t="s">
        <v>61</v>
      </c>
      <c r="B2" s="42">
        <f>SUM('Raw Data'!E:E)</f>
        <v>10913.8</v>
      </c>
    </row>
    <row r="3">
      <c r="A3" s="41" t="s">
        <v>71</v>
      </c>
      <c r="B3" s="42">
        <f>SUM('Raw Data'!F:F)</f>
        <v>5066.8</v>
      </c>
    </row>
    <row r="4">
      <c r="A4" s="41" t="s">
        <v>72</v>
      </c>
      <c r="B4" s="42">
        <f>SUM('Raw Data'!G:G)</f>
        <v>5847</v>
      </c>
    </row>
    <row r="5">
      <c r="A5" s="41" t="s">
        <v>73</v>
      </c>
      <c r="B5" s="43">
        <f>SUM('Raw Data'!H:H)</f>
        <v>15023163.33</v>
      </c>
    </row>
    <row r="6">
      <c r="A6" s="41" t="s">
        <v>74</v>
      </c>
      <c r="B6" s="44">
        <f>SUM('Raw Data'!G:G)/SUM('Raw Data'!E:E)</f>
        <v>0.5357437373</v>
      </c>
    </row>
    <row r="7">
      <c r="A7" s="41" t="s">
        <v>75</v>
      </c>
      <c r="B7" s="45">
        <f>COUNTIF('Raw Data'!J:J,"HIGH RISK")</f>
        <v>40</v>
      </c>
    </row>
    <row r="8">
      <c r="A8" s="41" t="s">
        <v>76</v>
      </c>
      <c r="B8" s="46">
        <f>COUNTIF('Raw Data'!K:K,"NO INVOICE")</f>
        <v>16</v>
      </c>
    </row>
    <row r="9">
      <c r="A9" s="47" t="s">
        <v>77</v>
      </c>
      <c r="B9" s="48">
        <f>1 - (SUM('Raw Data'!G:G)/SUM('Raw Data'!E:E))</f>
        <v>0.4642562627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9" max="9" width="13.75"/>
  </cols>
  <sheetData>
    <row r="1">
      <c r="A1" s="49" t="s">
        <v>78</v>
      </c>
      <c r="B1" s="50"/>
      <c r="C1" s="50"/>
      <c r="D1" s="50"/>
      <c r="E1" s="50"/>
      <c r="F1" s="50"/>
      <c r="G1" s="50"/>
      <c r="H1" s="50"/>
      <c r="I1" s="51"/>
    </row>
    <row r="2">
      <c r="A2" s="52" t="s">
        <v>79</v>
      </c>
      <c r="B2" s="53"/>
      <c r="C2" s="53"/>
      <c r="D2" s="53"/>
      <c r="E2" s="53"/>
      <c r="F2" s="53"/>
      <c r="G2" s="53"/>
      <c r="H2" s="53"/>
      <c r="I2" s="54"/>
    </row>
    <row r="3">
      <c r="I3" s="58"/>
    </row>
    <row r="4">
      <c r="I4" s="62" t="s">
        <v>83</v>
      </c>
    </row>
    <row r="5">
      <c r="I5" s="67">
        <f t="shared" ref="I5:I11" si="1">H5/$H$11</f>
        <v>0.3463726238</v>
      </c>
    </row>
    <row r="6">
      <c r="I6" s="71">
        <f t="shared" si="1"/>
        <v>0.1865362466</v>
      </c>
    </row>
    <row r="7">
      <c r="I7" s="71">
        <f t="shared" si="1"/>
        <v>0.1839444157</v>
      </c>
    </row>
    <row r="8">
      <c r="I8" s="71">
        <f t="shared" si="1"/>
        <v>0.1298521015</v>
      </c>
    </row>
    <row r="9">
      <c r="I9" s="71">
        <f t="shared" si="1"/>
        <v>0.09689037974</v>
      </c>
    </row>
    <row r="10">
      <c r="I10" s="71">
        <f t="shared" si="1"/>
        <v>0.05640423268</v>
      </c>
    </row>
    <row r="11">
      <c r="I11" s="74">
        <f t="shared" si="1"/>
        <v>1</v>
      </c>
    </row>
  </sheetData>
  <mergeCells count="2">
    <mergeCell ref="A1:I1"/>
    <mergeCell ref="A2:I2"/>
  </mergeCells>
  <conditionalFormatting sqref="B5:G10">
    <cfRule type="colorScale" priority="1">
      <colorScale>
        <cfvo type="min"/>
        <cfvo type="max"/>
        <color rgb="FFFFFFFF"/>
        <color rgb="FFCC0000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